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tests\"/>
    </mc:Choice>
  </mc:AlternateContent>
  <xr:revisionPtr revIDLastSave="0" documentId="13_ncr:1_{45ED3EFF-1368-4157-998E-754DADFD1205}" xr6:coauthVersionLast="47" xr6:coauthVersionMax="47" xr10:uidLastSave="{00000000-0000-0000-0000-000000000000}"/>
  <bookViews>
    <workbookView xWindow="-108" yWindow="-108" windowWidth="23256" windowHeight="12456" firstSheet="2" activeTab="6" xr2:uid="{54DEE1B0-564F-4E35-85CB-00859B56D0A3}"/>
  </bookViews>
  <sheets>
    <sheet name="Cover Page" sheetId="8" r:id="rId1"/>
    <sheet name="DGET vs VLOOKUP" sheetId="10" r:id="rId2"/>
    <sheet name="DGET vs INDEX MATCH" sheetId="9" r:id="rId3"/>
    <sheet name="DGET vs XLOOKUP" sheetId="11" r:id="rId4"/>
    <sheet name="Wildcard and OR Condition" sheetId="12" r:id="rId5"/>
    <sheet name="Limit 2" sheetId="13" r:id="rId6"/>
    <sheet name="Limit 3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2" l="1"/>
  <c r="F4" i="12" a="1"/>
  <c r="K8" i="11"/>
  <c r="J8" i="11"/>
  <c r="J8" i="9"/>
  <c r="J4" i="9"/>
  <c r="K4" i="11" a="1"/>
  <c r="J4" i="11" a="1"/>
  <c r="G8" i="10"/>
  <c r="G4" i="10"/>
  <c r="K9" i="14"/>
  <c r="J9" i="14"/>
  <c r="K4" i="14" a="1"/>
  <c r="J4" i="14" a="1"/>
  <c r="J8" i="13"/>
  <c r="J4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<sst xmlns="http://schemas.openxmlformats.org/spreadsheetml/2006/main" count="232" uniqueCount="72">
  <si>
    <t>Name</t>
  </si>
  <si>
    <t>Sales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</si>
  <si>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</si>
  <si>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</si>
  <si>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</si>
  <si>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</si>
  <si>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</si>
  <si>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</si>
  <si>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</si>
  <si>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DGET</t>
  </si>
  <si>
    <t>VLOOKUP</t>
  </si>
  <si>
    <t>Portugal</t>
  </si>
  <si>
    <t>January</t>
  </si>
  <si>
    <t>Country</t>
  </si>
  <si>
    <t>February</t>
  </si>
  <si>
    <t>March</t>
  </si>
  <si>
    <t>April</t>
  </si>
  <si>
    <t>May</t>
  </si>
  <si>
    <t>Spain</t>
  </si>
  <si>
    <t>Italy</t>
  </si>
  <si>
    <t>France</t>
  </si>
  <si>
    <t>Belgium</t>
  </si>
  <si>
    <t>Holland</t>
  </si>
  <si>
    <t>Switzerland</t>
  </si>
  <si>
    <t>Austria</t>
  </si>
  <si>
    <t>Germany</t>
  </si>
  <si>
    <t>Bulgaria</t>
  </si>
  <si>
    <t>Greece</t>
  </si>
  <si>
    <t>Poland</t>
  </si>
  <si>
    <t>Norway</t>
  </si>
  <si>
    <t>Sweden</t>
  </si>
  <si>
    <t>Romania</t>
  </si>
  <si>
    <t>Iceland</t>
  </si>
  <si>
    <t>Finland</t>
  </si>
  <si>
    <t>Albania</t>
  </si>
  <si>
    <t>Serbia</t>
  </si>
  <si>
    <t>Ireland</t>
  </si>
  <si>
    <t>INDEX MATCH</t>
  </si>
  <si>
    <t>XLOOKUP</t>
  </si>
  <si>
    <t>Max Merstappen</t>
  </si>
  <si>
    <t>Charles Lecy</t>
  </si>
  <si>
    <t>Sergio Pemez</t>
  </si>
  <si>
    <t>George Russ</t>
  </si>
  <si>
    <t>Carlos Sait</t>
  </si>
  <si>
    <t>Lewis Ham</t>
  </si>
  <si>
    <t>Lando Morris</t>
  </si>
  <si>
    <t>Esteban Chocon</t>
  </si>
  <si>
    <t>Fernando Fonso</t>
  </si>
  <si>
    <t>Valtteri Mottas</t>
  </si>
  <si>
    <t>Pierre Masly</t>
  </si>
  <si>
    <t>Kevin Fergussen</t>
  </si>
  <si>
    <t>Sebastian Mettel</t>
  </si>
  <si>
    <t>Alex Malbon</t>
  </si>
  <si>
    <t>Oscar Miastri</t>
  </si>
  <si>
    <t>Zhou Guan</t>
  </si>
  <si>
    <t>DGET Function</t>
  </si>
  <si>
    <t>Product</t>
  </si>
  <si>
    <t>Olives</t>
  </si>
  <si>
    <t>Pasta</t>
  </si>
  <si>
    <t>Bread</t>
  </si>
  <si>
    <t>Fish</t>
  </si>
  <si>
    <t>Fries</t>
  </si>
  <si>
    <t>Pancakes</t>
  </si>
  <si>
    <t>Cheese</t>
  </si>
  <si>
    <t>Yogurt</t>
  </si>
  <si>
    <t>Sausage</t>
  </si>
  <si>
    <t>Potatoes</t>
  </si>
  <si>
    <t>Cookies</t>
  </si>
  <si>
    <t>Country:</t>
  </si>
  <si>
    <t>Month:</t>
  </si>
  <si>
    <t>Sales:</t>
  </si>
  <si>
    <t xml:space="preserve">Esteban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</si>
</sst>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mmm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20"/>
      <color rgb="FF073673"/>
      <name val="Calibri"/>
      <family val="2"/>
      <scheme val="minor"/>
    </font>
    <font>
      <i/>
      <sz val="14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1" xfId="2" applyBorder="1"/>
    <xf numFmtId="0" fontId="5" fillId="0" borderId="2" xfId="2" applyFont="1" applyBorder="1" applyAlignment="1">
      <alignment horizontal="center" vertical="center"/>
    </xf>
    <xf numFmtId="0" fontId="2" fillId="0" borderId="3" xfId="2" applyBorder="1"/>
    <xf numFmtId="0" fontId="2" fillId="4" borderId="0" xfId="2" applyFill="1"/>
    <xf numFmtId="0" fontId="2" fillId="0" borderId="4" xfId="2" applyBorder="1"/>
    <xf numFmtId="0" fontId="5" fillId="0" borderId="0" xfId="2" applyFont="1" applyAlignment="1">
      <alignment horizontal="center" vertical="center"/>
    </xf>
    <xf numFmtId="0" fontId="2" fillId="0" borderId="5" xfId="2" applyBorder="1"/>
    <xf numFmtId="0" fontId="2" fillId="0" borderId="0" xfId="2"/>
    <xf numFmtId="0" fontId="6" fillId="0" borderId="0" xfId="2" applyFont="1" applyAlignment="1">
      <alignment horizontal="center"/>
    </xf>
    <xf numFmtId="0" fontId="2" fillId="0" borderId="4" xfId="2" applyBorder="1" applyAlignment="1">
      <alignment vertical="center"/>
    </xf>
    <xf numFmtId="0" fontId="9" fillId="5" borderId="6" xfId="3" applyFont="1" applyFill="1" applyBorder="1" applyAlignment="1">
      <alignment horizontal="center" vertical="center"/>
    </xf>
    <xf numFmtId="0" fontId="2" fillId="0" borderId="5" xfId="2" applyBorder="1" applyAlignment="1">
      <alignment vertical="center"/>
    </xf>
    <xf numFmtId="0" fontId="2" fillId="4" borderId="0" xfId="2" applyFill="1" applyAlignment="1">
      <alignment vertical="center"/>
    </xf>
    <xf numFmtId="0" fontId="10" fillId="0" borderId="0" xfId="3" applyFont="1" applyFill="1" applyBorder="1"/>
    <xf numFmtId="0" fontId="3" fillId="0" borderId="7" xfId="2" applyFont="1" applyBorder="1"/>
    <xf numFmtId="0" fontId="2" fillId="0" borderId="0" xfId="2" applyAlignment="1">
      <alignment vertical="top" wrapText="1"/>
    </xf>
    <xf numFmtId="0" fontId="2" fillId="0" borderId="8" xfId="2" applyBorder="1"/>
    <xf numFmtId="0" fontId="2" fillId="0" borderId="7" xfId="2" applyBorder="1"/>
    <xf numFmtId="0" fontId="2" fillId="0" borderId="9" xfId="2" applyBorder="1"/>
    <xf numFmtId="0" fontId="12" fillId="2" borderId="0" xfId="4" applyFont="1" applyFill="1" applyAlignment="1">
      <alignment horizontal="center" vertical="center"/>
    </xf>
    <xf numFmtId="0" fontId="11" fillId="0" borderId="0" xfId="4" applyFont="1"/>
    <xf numFmtId="0" fontId="12" fillId="2" borderId="0" xfId="4" applyFont="1" applyFill="1" applyAlignment="1">
      <alignment vertical="center"/>
    </xf>
    <xf numFmtId="165" fontId="12" fillId="2" borderId="0" xfId="4" applyNumberFormat="1" applyFont="1" applyFill="1" applyAlignment="1">
      <alignment horizontal="center" vertical="center"/>
    </xf>
    <xf numFmtId="0" fontId="13" fillId="0" borderId="0" xfId="4" applyFont="1" applyAlignment="1">
      <alignment vertical="center"/>
    </xf>
    <xf numFmtId="164" fontId="13" fillId="0" borderId="0" xfId="4" applyNumberFormat="1" applyFont="1" applyAlignment="1">
      <alignment vertical="center"/>
    </xf>
    <xf numFmtId="0" fontId="3" fillId="3" borderId="0" xfId="4" applyFont="1" applyFill="1" applyAlignment="1">
      <alignment horizontal="center"/>
    </xf>
    <xf numFmtId="0" fontId="11" fillId="0" borderId="0" xfId="4" applyFont="1" applyAlignment="1">
      <alignment horizontal="center"/>
    </xf>
    <xf numFmtId="164" fontId="11" fillId="0" borderId="0" xfId="4" applyNumberFormat="1" applyFont="1"/>
    <xf numFmtId="3" fontId="13" fillId="0" borderId="0" xfId="4" applyNumberFormat="1" applyFont="1" applyAlignment="1">
      <alignment horizontal="center" vertical="center"/>
    </xf>
    <xf numFmtId="0" fontId="3" fillId="0" borderId="0" xfId="4" applyFont="1"/>
    <xf numFmtId="0" fontId="4" fillId="0" borderId="0" xfId="1"/>
    <xf numFmtId="0" fontId="11" fillId="0" borderId="10" xfId="4" applyFont="1" applyBorder="1" applyAlignment="1">
      <alignment horizontal="center"/>
    </xf>
    <xf numFmtId="0" fontId="3" fillId="0" borderId="0" xfId="4" applyFont="1" applyAlignment="1">
      <alignment horizontal="right"/>
    </xf>
    <xf numFmtId="0" fontId="12" fillId="2" borderId="0" xfId="4" applyFont="1" applyFill="1" applyAlignment="1">
      <alignment horizontal="center" vertical="center"/>
    </xf>
    <xf numFmtId="3" fontId="13" fillId="0" borderId="0" xfId="4" applyNumberFormat="1" applyFont="1" applyAlignment="1">
      <alignment horizontal="left" vertical="top"/>
    </xf>
    <xf numFmtId="164" fontId="13" fillId="0" borderId="0" xfId="4" applyNumberFormat="1" applyFont="1" applyAlignment="1">
      <alignment horizontal="left" vertical="top"/>
    </xf>
  </cellXfs>
  <cellStyles count="5">
    <cellStyle name="Hyperlink" xfId="1" builtinId="8"/>
    <cellStyle name="Hyperlink 2" xfId="3" xr:uid="{FC04D64C-0BC3-7A41-A083-EB09B8EADADA}"/>
    <cellStyle name="Normal" xfId="0" builtinId="0"/>
    <cellStyle name="Normal 2" xfId="2" xr:uid="{E3A185E7-DC67-E64A-A9B3-9756C46052D1}"/>
    <cellStyle name="Normal 3" xfId="4" xr:uid="{25E355A7-1F53-7C4A-AE75-9B643CACB15C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numFmt numFmtId="165" formatCode="mmm"/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numFmt numFmtId="165" formatCode="mmm"/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numFmt numFmtId="165" formatCode="mmm"/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numFmt numFmtId="165" formatCode="mmm"/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A5144A-40C9-FE42-9D45-1433BF305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53113"/>
          <a:ext cx="2648507" cy="92141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53F62-5DCE-2B45-9FEF-CA0E2A4192DC}" name="Table2" displayName="Table2" ref="B2:D22" totalsRowShown="0" headerRowDxfId="29">
  <autoFilter ref="B2:D22" xr:uid="{8BB53F62-5DCE-2B45-9FEF-CA0E2A4192DC}">
    <filterColumn colId="0" hiddenButton="1"/>
    <filterColumn colId="1" hiddenButton="1"/>
    <filterColumn colId="2" hiddenButton="1"/>
  </autoFilter>
  <tableColumns count="3">
    <tableColumn id="1" xr3:uid="{C885E1F7-30F3-8B45-8B6B-F38193CD8A9B}" name="Country" dataDxfId="28" dataCellStyle="Normal 3"/>
    <tableColumn id="2" xr3:uid="{41ACBFBE-4655-C34C-9ED3-1D3B5071D01E}" name="Product" dataDxfId="27" dataCellStyle="Normal 3"/>
    <tableColumn id="3" xr3:uid="{9A891F2B-6044-7E49-9012-0E1040796361}" name="Sales" dataDxfId="26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AD1234-C2BD-2940-9E77-BC5CA8A902D7}" name="Table3" displayName="Table3" ref="B2:G22" totalsRowShown="0" headerRowDxfId="25" dataDxfId="24" headerRowCellStyle="Normal 3" dataCellStyle="Normal 3">
  <autoFilter ref="B2:G22" xr:uid="{C5AD1234-C2BD-2940-9E77-BC5CA8A902D7}"/>
  <tableColumns count="6">
    <tableColumn id="1" xr3:uid="{27FFDC7F-F969-484B-84AD-4D0C7D398861}" name="Country" dataDxfId="23" dataCellStyle="Normal 3"/>
    <tableColumn id="2" xr3:uid="{ACE2B318-0D9B-5249-ABF0-5E3400C1AB94}" name="January" dataDxfId="22" dataCellStyle="Normal 3"/>
    <tableColumn id="3" xr3:uid="{9628CB50-8E66-0C43-B6A0-7D4FAB622F09}" name="February" dataDxfId="21" dataCellStyle="Normal 3"/>
    <tableColumn id="4" xr3:uid="{53B86001-55EB-7A4F-8F76-3D5920925191}" name="March" dataDxfId="20" dataCellStyle="Normal 3"/>
    <tableColumn id="5" xr3:uid="{B2DF29B1-41EC-DE47-87E2-4C03A30BB302}" name="April" dataDxfId="19" dataCellStyle="Normal 3"/>
    <tableColumn id="6" xr3:uid="{4498047B-05AC-E04C-9258-D88405A28AFE}" name="May" dataDxfId="18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28C73E-CF92-BC41-98C6-9497394E2121}" name="Table35" displayName="Table35" ref="B2:G22" totalsRowShown="0" headerRowDxfId="17" dataDxfId="16" headerRowCellStyle="Normal 3" dataCellStyle="Normal 3">
  <autoFilter ref="B2:G22" xr:uid="{C5AD1234-C2BD-2940-9E77-BC5CA8A902D7}"/>
  <tableColumns count="6">
    <tableColumn id="1" xr3:uid="{43078CA2-035F-AE48-B553-AD63126C9464}" name="Country" dataDxfId="15" dataCellStyle="Normal 3"/>
    <tableColumn id="2" xr3:uid="{5D8827C7-3A58-C64C-9015-8511CF7461D6}" name="January" dataDxfId="14" dataCellStyle="Normal 3"/>
    <tableColumn id="3" xr3:uid="{9ACE3185-6F58-0846-9E39-59A848D8B82A}" name="February" dataDxfId="13" dataCellStyle="Normal 3"/>
    <tableColumn id="4" xr3:uid="{A0B4E946-ED75-3C40-A9F4-C7A564A5E3AC}" name="March" dataDxfId="12" dataCellStyle="Normal 3"/>
    <tableColumn id="5" xr3:uid="{2E087A31-E2D5-A44E-8A81-129E5314DADC}" name="April" dataDxfId="11" dataCellStyle="Normal 3"/>
    <tableColumn id="6" xr3:uid="{F830183B-22E0-6C48-8F7D-1F7A9F55CA83}" name="May" dataDxfId="10" dataCellStyle="Normal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4ABA3E-38B4-0840-9520-F1F1BD6FD1F4}" name="Table26" displayName="Table26" ref="B2:C18" totalsRowShown="0">
  <autoFilter ref="B2:C18" xr:uid="{8BB53F62-5DCE-2B45-9FEF-CA0E2A4192DC}"/>
  <tableColumns count="2">
    <tableColumn id="1" xr3:uid="{5DA84911-5072-7C48-A9ED-8B3688226C30}" name="Name" dataDxfId="9" dataCellStyle="Normal 3"/>
    <tableColumn id="2" xr3:uid="{4D7343C6-263C-D548-B425-A1C9058FF635}" name="Sales" dataDxfId="8" dataCellStyle="Normal 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76BD3-3AFA-F64A-9DB3-FDE4EBA966A3}" name="Table32" displayName="Table32" ref="B2:G22" totalsRowShown="0" headerRowDxfId="7" dataDxfId="6" headerRowCellStyle="Normal 3" dataCellStyle="Normal 3">
  <autoFilter ref="B2:G22" xr:uid="{C5AD1234-C2BD-2940-9E77-BC5CA8A902D7}"/>
  <tableColumns count="6">
    <tableColumn id="1" xr3:uid="{E059B3C6-F0F6-8348-8667-CE664442E8B9}" name="Country" dataDxfId="5" dataCellStyle="Normal 3"/>
    <tableColumn id="2" xr3:uid="{39D71CD1-DD24-4142-AFBD-0BD420405CC8}" name="January" dataDxfId="4" dataCellStyle="Normal 3"/>
    <tableColumn id="3" xr3:uid="{D16A44BD-9AF9-634A-B1E2-E1A026CD9E92}" name="February" dataDxfId="3" dataCellStyle="Normal 3"/>
    <tableColumn id="4" xr3:uid="{43F358F7-32AE-5845-AA75-395EB7C8D6C9}" name="March" dataDxfId="2" dataCellStyle="Normal 3"/>
    <tableColumn id="5" xr3:uid="{677EBD65-31BD-BA44-87C7-53D0774A603E}" name="April" dataDxfId="1" dataCellStyle="Normal 3"/>
    <tableColumn id="6" xr3:uid="{447A52A2-8CCA-1D45-8940-EF161E463858}" name="May" dataDxfId="0" dataCellStyle="Normal 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48BC99-A7D8-8B46-900F-41E152124C2C}" name="Table357" displayName="Table357" ref="B2:G22" totalsRowShown="0" headerRowDxfId="37" dataDxfId="36" headerRowCellStyle="Normal 3" dataCellStyle="Normal 3">
  <autoFilter ref="B2:G22" xr:uid="{C5AD1234-C2BD-2940-9E77-BC5CA8A902D7}"/>
  <tableColumns count="6">
    <tableColumn id="1" xr3:uid="{7C90F2EE-F003-8D43-B206-E583AA912937}" name="Country" dataDxfId="35" dataCellStyle="Normal 3"/>
    <tableColumn id="2" xr3:uid="{8581A991-A2D0-924C-9381-A1F86F22210D}" name="January" dataDxfId="34" dataCellStyle="Normal 3"/>
    <tableColumn id="3" xr3:uid="{5DD2A8AE-A3A4-A048-95F6-54E214285F1F}" name="February" dataDxfId="33" dataCellStyle="Normal 3"/>
    <tableColumn id="4" xr3:uid="{9409E109-F35E-CD40-805E-54879781C4D4}" name="March" dataDxfId="32" dataCellStyle="Normal 3"/>
    <tableColumn id="5" xr3:uid="{6BADCB1A-C268-8949-961E-C0C7219F6AD1}" name="April" dataDxfId="31" dataCellStyle="Normal 3"/>
    <tableColumn id="6" xr3:uid="{DA99450D-1BCA-654B-9558-BC5A35673336}" name="May" dataDxfId="3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08F4-1982-FF40-968A-3A8A0200F10A}">
  <dimension ref="B3:D18"/>
  <sheetViews>
    <sheetView showGridLines="0" zoomScale="130" zoomScaleNormal="130" workbookViewId="0">
      <selection activeCell="C11" sqref="C11"/>
    </sheetView>
  </sheetViews>
  <sheetFormatPr defaultColWidth="10.77734375" defaultRowHeight="15.6"/>
  <cols>
    <col min="1" max="1" width="10.77734375" style="4"/>
    <col min="2" max="2" width="8.44140625" style="4" customWidth="1"/>
    <col min="3" max="3" width="95.6640625" style="4" customWidth="1"/>
    <col min="4" max="4" width="9.44140625" style="4" customWidth="1"/>
    <col min="5" max="16384" width="10.77734375" style="4"/>
  </cols>
  <sheetData>
    <row r="3" spans="2:4" ht="76.8">
      <c r="B3" s="1"/>
      <c r="C3" s="2" t="s">
        <v>55</v>
      </c>
      <c r="D3" s="3"/>
    </row>
    <row r="4" spans="2:4" ht="42" customHeight="1">
      <c r="B4" s="5"/>
      <c r="C4" s="6"/>
      <c r="D4" s="7"/>
    </row>
    <row r="5" spans="2:4" ht="31.95" customHeight="1">
      <c r="B5" s="5"/>
      <c r="C5" s="6"/>
      <c r="D5" s="7"/>
    </row>
    <row r="6" spans="2:4" ht="10.95" customHeight="1">
      <c r="B6" s="5"/>
      <c r="C6" s="8"/>
      <c r="D6" s="7"/>
    </row>
    <row r="7" spans="2:4" ht="21">
      <c r="B7" s="5"/>
      <c r="C7" s="9" t="s">
        <v>2</v>
      </c>
      <c r="D7" s="7"/>
    </row>
    <row r="8" spans="2:4" ht="10.95" customHeight="1">
      <c r="B8" s="5"/>
      <c r="C8" s="8"/>
      <c r="D8" s="7"/>
    </row>
    <row r="9" spans="2:4" s="13" customFormat="1" ht="25.8">
      <c r="B9" s="10"/>
      <c r="C9" s="11" t="s">
        <v>3</v>
      </c>
      <c r="D9" s="12"/>
    </row>
    <row r="10" spans="2:4">
      <c r="B10" s="5"/>
      <c r="C10" s="8"/>
      <c r="D10" s="7"/>
    </row>
    <row r="11" spans="2:4">
      <c r="B11" s="5"/>
      <c r="C11" s="31" t="s">
        <v>4</v>
      </c>
      <c r="D11" s="7"/>
    </row>
    <row r="12" spans="2:4" ht="6" customHeight="1">
      <c r="B12" s="5"/>
      <c r="C12" s="8"/>
      <c r="D12" s="7"/>
    </row>
    <row r="13" spans="2:4" ht="18">
      <c r="B13" s="5"/>
      <c r="C13" s="14" t="s">
        <v>5</v>
      </c>
      <c r="D13" s="7"/>
    </row>
    <row r="14" spans="2:4" ht="7.95" customHeight="1">
      <c r="B14" s="5"/>
      <c r="C14" s="8"/>
      <c r="D14" s="7"/>
    </row>
    <row r="15" spans="2:4">
      <c r="B15" s="5"/>
      <c r="C15" s="15" t="s">
        <v>6</v>
      </c>
      <c r="D15" s="7"/>
    </row>
    <row r="16" spans="2:4">
      <c r="B16" s="5"/>
      <c r="C16" s="8" t="s">
        <v>7</v>
      </c>
      <c r="D16" s="7"/>
    </row>
    <row r="17" spans="2:4" ht="31.2">
      <c r="B17" s="5"/>
      <c r="C17" s="16" t="s">
        <v>8</v>
      </c>
      <c r="D17" s="7"/>
    </row>
    <row r="18" spans="2:4">
      <c r="B18" s="17"/>
      <c r="C18" s="18"/>
      <c r="D18" s="19"/>
    </row>
  </sheetData>
  <sheetProtection algorithmName="SHA-512" hashValue="CO3BBoCB+g6phEbcDS5sSRU+9OeOkmEI+1DzbDu+xqRdHmAV6KvSsgTagEhA3Gxuynoukjpf1ErpIQErzLLNYg==" saltValue="VkNJZ+GUzRfGiBrZqedGQw==" spinCount="100000" sheet="1" objects="1" scenarios="1"/>
  <hyperlinks>
    <hyperlink ref="C13" r:id="rId1" display="Made by Kenji Explains" xr:uid="{CD1979C3-90BE-7E4D-9970-5B803C330C1D}"/>
    <hyperlink ref="C9" r:id="rId2" display="Get our VBA &amp; Macros Course" xr:uid="{AAD0B842-FFD4-5440-B16A-B3779AE778A2}"/>
    <hyperlink ref="C11" location="'DGET vs VLOOKUP'!A1" display="Go to Sheet 1 -&gt; here" xr:uid="{05A4F8CC-5CAA-BA40-A290-E8B89571ACBC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6693-E07C-6B41-A625-FC35E0E91574}">
  <dimension ref="B2:G22"/>
  <sheetViews>
    <sheetView zoomScale="140" zoomScaleNormal="140" workbookViewId="0">
      <selection activeCell="G9" sqref="G9"/>
    </sheetView>
  </sheetViews>
  <sheetFormatPr defaultColWidth="10.77734375" defaultRowHeight="14.4"/>
  <cols>
    <col min="1" max="1" width="4.33203125" style="21" customWidth="1"/>
    <col min="2" max="2" width="11.5546875" style="21" bestFit="1" customWidth="1"/>
    <col min="3" max="3" width="11.21875" style="21" bestFit="1" customWidth="1"/>
    <col min="4" max="4" width="9.5546875" style="21" bestFit="1" customWidth="1"/>
    <col min="5" max="16384" width="10.77734375" style="21"/>
  </cols>
  <sheetData>
    <row r="2" spans="2:7">
      <c r="B2" s="20" t="s">
        <v>13</v>
      </c>
      <c r="C2" s="20" t="s">
        <v>56</v>
      </c>
      <c r="D2" s="23" t="s">
        <v>1</v>
      </c>
      <c r="F2" s="34" t="s">
        <v>10</v>
      </c>
      <c r="G2" s="34"/>
    </row>
    <row r="3" spans="2:7">
      <c r="B3" s="24" t="s">
        <v>18</v>
      </c>
      <c r="C3" s="25" t="s">
        <v>57</v>
      </c>
      <c r="D3" s="25">
        <v>92799</v>
      </c>
      <c r="F3" s="26" t="s">
        <v>13</v>
      </c>
      <c r="G3" s="26" t="s">
        <v>1</v>
      </c>
    </row>
    <row r="4" spans="2:7">
      <c r="B4" s="24" t="s">
        <v>19</v>
      </c>
      <c r="C4" s="25" t="s">
        <v>58</v>
      </c>
      <c r="D4" s="25">
        <v>666566</v>
      </c>
      <c r="F4" s="27" t="s">
        <v>28</v>
      </c>
      <c r="G4" s="35">
        <f>VLOOKUP(F4,Table2[#All],3,FALSE)</f>
        <v>23296.965120000001</v>
      </c>
    </row>
    <row r="5" spans="2:7">
      <c r="B5" s="24" t="s">
        <v>20</v>
      </c>
      <c r="C5" s="25" t="s">
        <v>59</v>
      </c>
      <c r="D5" s="25">
        <v>99127</v>
      </c>
    </row>
    <row r="6" spans="2:7">
      <c r="B6" s="24" t="s">
        <v>11</v>
      </c>
      <c r="C6" s="25" t="s">
        <v>60</v>
      </c>
      <c r="D6" s="25">
        <v>65468</v>
      </c>
      <c r="F6" s="34" t="s">
        <v>9</v>
      </c>
      <c r="G6" s="34"/>
    </row>
    <row r="7" spans="2:7">
      <c r="B7" s="24" t="s">
        <v>21</v>
      </c>
      <c r="C7" s="25" t="s">
        <v>61</v>
      </c>
      <c r="D7" s="25">
        <v>18856</v>
      </c>
      <c r="F7" s="26" t="s">
        <v>13</v>
      </c>
      <c r="G7" s="26" t="s">
        <v>1</v>
      </c>
    </row>
    <row r="8" spans="2:7">
      <c r="B8" s="24" t="s">
        <v>22</v>
      </c>
      <c r="C8" s="25" t="s">
        <v>62</v>
      </c>
      <c r="D8" s="25">
        <v>7648</v>
      </c>
      <c r="F8" s="27" t="s">
        <v>28</v>
      </c>
      <c r="G8" s="35">
        <f>DGET(Table2[#All],G7,F7:F8)</f>
        <v>23296.965120000001</v>
      </c>
    </row>
    <row r="9" spans="2:7">
      <c r="B9" s="24" t="s">
        <v>23</v>
      </c>
      <c r="C9" s="25" t="s">
        <v>63</v>
      </c>
      <c r="D9" s="25">
        <v>9865</v>
      </c>
    </row>
    <row r="10" spans="2:7">
      <c r="B10" s="24" t="s">
        <v>24</v>
      </c>
      <c r="C10" s="25" t="s">
        <v>59</v>
      </c>
      <c r="D10" s="25">
        <v>11061</v>
      </c>
    </row>
    <row r="11" spans="2:7">
      <c r="B11" s="24" t="s">
        <v>25</v>
      </c>
      <c r="C11" s="25" t="s">
        <v>59</v>
      </c>
      <c r="D11" s="25">
        <v>78305</v>
      </c>
    </row>
    <row r="12" spans="2:7">
      <c r="B12" s="24" t="s">
        <v>26</v>
      </c>
      <c r="C12" s="25" t="s">
        <v>64</v>
      </c>
      <c r="D12" s="25">
        <v>122473.39104000002</v>
      </c>
    </row>
    <row r="13" spans="2:7">
      <c r="B13" s="24" t="s">
        <v>27</v>
      </c>
      <c r="C13" s="25" t="s">
        <v>64</v>
      </c>
      <c r="D13" s="25">
        <v>80887.023360000007</v>
      </c>
    </row>
    <row r="14" spans="2:7">
      <c r="B14" s="24" t="s">
        <v>28</v>
      </c>
      <c r="C14" s="25" t="s">
        <v>65</v>
      </c>
      <c r="D14" s="25">
        <v>23296.965120000001</v>
      </c>
    </row>
    <row r="15" spans="2:7">
      <c r="B15" s="24" t="s">
        <v>29</v>
      </c>
      <c r="C15" s="25" t="s">
        <v>67</v>
      </c>
      <c r="D15" s="25">
        <v>9449.2569600000006</v>
      </c>
    </row>
    <row r="16" spans="2:7">
      <c r="B16" s="24" t="s">
        <v>30</v>
      </c>
      <c r="C16" s="25" t="s">
        <v>67</v>
      </c>
      <c r="D16" s="25">
        <v>12188.4048</v>
      </c>
    </row>
    <row r="17" spans="2:4">
      <c r="B17" s="24" t="s">
        <v>31</v>
      </c>
      <c r="C17" s="25" t="s">
        <v>66</v>
      </c>
      <c r="D17" s="25">
        <v>13666.086720000001</v>
      </c>
    </row>
    <row r="18" spans="2:4">
      <c r="B18" s="24" t="s">
        <v>32</v>
      </c>
      <c r="C18" s="25" t="s">
        <v>67</v>
      </c>
      <c r="D18" s="25">
        <v>96747.39360000001</v>
      </c>
    </row>
    <row r="19" spans="2:4">
      <c r="B19" s="24" t="s">
        <v>33</v>
      </c>
      <c r="C19" s="25" t="s">
        <v>67</v>
      </c>
      <c r="D19" s="25">
        <v>8681.2000000000007</v>
      </c>
    </row>
    <row r="20" spans="2:4">
      <c r="B20" s="24" t="s">
        <v>34</v>
      </c>
      <c r="C20" s="25" t="s">
        <v>66</v>
      </c>
      <c r="D20" s="25">
        <v>9733.68</v>
      </c>
    </row>
    <row r="21" spans="2:4">
      <c r="B21" s="24" t="s">
        <v>35</v>
      </c>
      <c r="C21" s="25" t="s">
        <v>67</v>
      </c>
      <c r="D21" s="25">
        <v>68908.399999999994</v>
      </c>
    </row>
    <row r="22" spans="2:4">
      <c r="B22" s="24" t="s">
        <v>36</v>
      </c>
      <c r="C22" s="25" t="s">
        <v>66</v>
      </c>
      <c r="D22" s="25">
        <v>20499.130080000003</v>
      </c>
    </row>
  </sheetData>
  <mergeCells count="2">
    <mergeCell ref="F2:G2"/>
    <mergeCell ref="F6:G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2B3B-1551-A945-A9D7-31A9CCF259B6}">
  <dimension ref="B2:P36"/>
  <sheetViews>
    <sheetView zoomScale="140" zoomScaleNormal="140" workbookViewId="0">
      <selection activeCell="J9" sqref="J9"/>
    </sheetView>
  </sheetViews>
  <sheetFormatPr defaultColWidth="10.77734375" defaultRowHeight="14.4"/>
  <cols>
    <col min="1" max="1" width="4.77734375" style="21" customWidth="1"/>
    <col min="2" max="2" width="10" style="21" bestFit="1" customWidth="1"/>
    <col min="3" max="7" width="8.6640625" style="21" bestFit="1" customWidth="1"/>
    <col min="8" max="8" width="8.33203125" style="21" customWidth="1"/>
    <col min="9" max="16384" width="10.77734375" style="21"/>
  </cols>
  <sheetData>
    <row r="2" spans="2:16">
      <c r="B2" s="22" t="s">
        <v>13</v>
      </c>
      <c r="C2" s="23" t="s">
        <v>12</v>
      </c>
      <c r="D2" s="23" t="s">
        <v>14</v>
      </c>
      <c r="E2" s="23" t="s">
        <v>15</v>
      </c>
      <c r="F2" s="23" t="s">
        <v>16</v>
      </c>
      <c r="G2" s="23" t="s">
        <v>17</v>
      </c>
      <c r="I2" s="34" t="s">
        <v>37</v>
      </c>
      <c r="J2" s="34"/>
    </row>
    <row r="3" spans="2:16">
      <c r="B3" s="24" t="s">
        <v>18</v>
      </c>
      <c r="C3" s="25">
        <v>9279.9</v>
      </c>
      <c r="D3" s="25">
        <v>10022.292000000001</v>
      </c>
      <c r="E3" s="25">
        <v>13028.979600000002</v>
      </c>
      <c r="F3" s="25">
        <v>11074.632660000001</v>
      </c>
      <c r="G3" s="25">
        <v>10410.1547004</v>
      </c>
      <c r="I3" s="26" t="s">
        <v>13</v>
      </c>
      <c r="J3" s="26" t="s">
        <v>16</v>
      </c>
    </row>
    <row r="4" spans="2:16">
      <c r="B4" s="24" t="s">
        <v>19</v>
      </c>
      <c r="C4" s="25">
        <v>66656.600000000006</v>
      </c>
      <c r="D4" s="25">
        <v>71989.127999999997</v>
      </c>
      <c r="E4" s="25">
        <v>68389.671600000001</v>
      </c>
      <c r="F4" s="25">
        <v>64970.188020000001</v>
      </c>
      <c r="G4" s="25">
        <v>61721.678618999998</v>
      </c>
      <c r="I4" s="27" t="s">
        <v>28</v>
      </c>
      <c r="J4" s="35">
        <f>INDEX(Table3[#All],MATCH(I4,Table3[[#All],[Country]],0),MATCH(J3,Table3[#Headers],0))</f>
        <v>8456.94</v>
      </c>
      <c r="K4" s="29"/>
    </row>
    <row r="5" spans="2:16">
      <c r="B5" s="24" t="s">
        <v>20</v>
      </c>
      <c r="C5" s="25">
        <v>9912.7000000000007</v>
      </c>
      <c r="D5" s="25">
        <v>10705.716</v>
      </c>
      <c r="E5" s="25">
        <v>13917.430800000002</v>
      </c>
      <c r="F5" s="25">
        <v>11829.816180000002</v>
      </c>
      <c r="G5" s="25">
        <v>11120.027209200001</v>
      </c>
    </row>
    <row r="6" spans="2:16">
      <c r="B6" s="24" t="s">
        <v>11</v>
      </c>
      <c r="C6" s="25">
        <v>6546.8</v>
      </c>
      <c r="D6" s="25">
        <v>7070.5439999999999</v>
      </c>
      <c r="E6" s="25">
        <v>9191.7072000000007</v>
      </c>
      <c r="F6" s="25">
        <v>7812.9511199999997</v>
      </c>
      <c r="G6" s="25">
        <v>7344.1740527999991</v>
      </c>
      <c r="I6" s="34" t="s">
        <v>9</v>
      </c>
      <c r="J6" s="34"/>
      <c r="K6" s="29"/>
    </row>
    <row r="7" spans="2:16">
      <c r="B7" s="24" t="s">
        <v>21</v>
      </c>
      <c r="C7" s="25">
        <v>1885.6</v>
      </c>
      <c r="D7" s="25">
        <v>2036.4479999999999</v>
      </c>
      <c r="E7" s="25">
        <v>2647.3824</v>
      </c>
      <c r="F7" s="25">
        <v>2250.27504</v>
      </c>
      <c r="G7" s="25">
        <v>2115.2585375999997</v>
      </c>
      <c r="I7" s="26" t="s">
        <v>13</v>
      </c>
      <c r="J7" s="26" t="s">
        <v>16</v>
      </c>
      <c r="K7" s="29"/>
    </row>
    <row r="8" spans="2:16">
      <c r="B8" s="24" t="s">
        <v>22</v>
      </c>
      <c r="C8" s="25">
        <v>764.8</v>
      </c>
      <c r="D8" s="25">
        <v>825.98400000000004</v>
      </c>
      <c r="E8" s="25">
        <v>1073.7792000000002</v>
      </c>
      <c r="F8" s="25">
        <v>912.71231999999998</v>
      </c>
      <c r="G8" s="25">
        <v>857.94958079999992</v>
      </c>
      <c r="I8" s="27" t="s">
        <v>28</v>
      </c>
      <c r="J8" s="35">
        <f>DGET(Table3[#All],J7,I7:I8)</f>
        <v>8456.94</v>
      </c>
      <c r="K8" s="29"/>
    </row>
    <row r="9" spans="2:16">
      <c r="B9" s="24" t="s">
        <v>23</v>
      </c>
      <c r="C9" s="25">
        <v>986.5</v>
      </c>
      <c r="D9" s="25">
        <v>1065.42</v>
      </c>
      <c r="E9" s="25">
        <v>1385.046</v>
      </c>
      <c r="F9" s="25">
        <v>1177.2891</v>
      </c>
      <c r="G9" s="25">
        <v>1106.651754</v>
      </c>
    </row>
    <row r="10" spans="2:16">
      <c r="B10" s="24" t="s">
        <v>24</v>
      </c>
      <c r="C10" s="25">
        <v>1106.0999999999999</v>
      </c>
      <c r="D10" s="25">
        <v>1194.5880000000002</v>
      </c>
      <c r="E10" s="25">
        <v>1552.9644000000003</v>
      </c>
      <c r="F10" s="25">
        <v>1320.0197400000002</v>
      </c>
      <c r="G10" s="25">
        <v>1240.8185556000001</v>
      </c>
      <c r="I10" s="30"/>
      <c r="J10" s="30"/>
    </row>
    <row r="11" spans="2:16">
      <c r="B11" s="24" t="s">
        <v>25</v>
      </c>
      <c r="C11" s="25">
        <v>7830.5</v>
      </c>
      <c r="D11" s="25">
        <v>8456.94</v>
      </c>
      <c r="E11" s="25">
        <v>10994.022000000001</v>
      </c>
      <c r="F11" s="25">
        <v>9344.9187000000002</v>
      </c>
      <c r="G11" s="25">
        <v>8784.223578000001</v>
      </c>
      <c r="I11" s="28"/>
      <c r="J11" s="28"/>
      <c r="K11" s="28"/>
      <c r="L11" s="28"/>
      <c r="M11" s="28"/>
      <c r="N11" s="28"/>
      <c r="O11" s="28"/>
      <c r="P11" s="28"/>
    </row>
    <row r="12" spans="2:16">
      <c r="B12" s="24" t="s">
        <v>26</v>
      </c>
      <c r="C12" s="25">
        <v>12247.339104000002</v>
      </c>
      <c r="D12" s="25">
        <v>10410.238238400001</v>
      </c>
      <c r="E12" s="25">
        <v>986.5</v>
      </c>
      <c r="F12" s="25">
        <v>1065.42</v>
      </c>
      <c r="G12" s="25">
        <v>1385.046</v>
      </c>
      <c r="I12" s="28"/>
      <c r="J12" s="28"/>
      <c r="K12" s="28"/>
      <c r="L12" s="28"/>
      <c r="M12" s="28"/>
      <c r="N12" s="28"/>
      <c r="O12" s="28"/>
      <c r="P12" s="28"/>
    </row>
    <row r="13" spans="2:16">
      <c r="B13" s="24" t="s">
        <v>27</v>
      </c>
      <c r="C13" s="25">
        <v>8088.7023360000003</v>
      </c>
      <c r="D13" s="25">
        <v>6875.3969855999994</v>
      </c>
      <c r="E13" s="25">
        <v>1106.0999999999999</v>
      </c>
      <c r="F13" s="25">
        <v>1194.5880000000002</v>
      </c>
      <c r="G13" s="25">
        <v>1552.9644000000003</v>
      </c>
      <c r="I13" s="28"/>
      <c r="J13" s="28"/>
      <c r="K13" s="28"/>
      <c r="L13" s="28"/>
      <c r="M13" s="28"/>
      <c r="N13" s="28"/>
      <c r="O13" s="28"/>
      <c r="P13" s="28"/>
    </row>
    <row r="14" spans="2:16">
      <c r="B14" s="24" t="s">
        <v>28</v>
      </c>
      <c r="C14" s="25">
        <v>2329.696512</v>
      </c>
      <c r="D14" s="25">
        <v>1980.2420352000001</v>
      </c>
      <c r="E14" s="25">
        <v>7830.5</v>
      </c>
      <c r="F14" s="25">
        <v>8456.94</v>
      </c>
      <c r="G14" s="25">
        <v>10994.022000000001</v>
      </c>
      <c r="I14" s="28"/>
      <c r="J14" s="28"/>
      <c r="K14" s="28"/>
      <c r="L14" s="28"/>
      <c r="M14" s="28"/>
      <c r="N14" s="28"/>
      <c r="O14" s="28"/>
      <c r="P14" s="28"/>
    </row>
    <row r="15" spans="2:16">
      <c r="B15" s="24" t="s">
        <v>29</v>
      </c>
      <c r="C15" s="25">
        <v>944.92569600000002</v>
      </c>
      <c r="D15" s="25">
        <v>803.18684159999998</v>
      </c>
      <c r="E15" s="25">
        <v>12247.339104000002</v>
      </c>
      <c r="F15" s="25">
        <v>10410.238238400001</v>
      </c>
      <c r="G15" s="25">
        <v>986.5</v>
      </c>
      <c r="I15" s="28"/>
      <c r="J15" s="28"/>
      <c r="K15" s="28"/>
      <c r="L15" s="28"/>
      <c r="M15" s="28"/>
      <c r="N15" s="28"/>
      <c r="O15" s="28"/>
      <c r="P15" s="28"/>
    </row>
    <row r="16" spans="2:16">
      <c r="B16" s="24" t="s">
        <v>30</v>
      </c>
      <c r="C16" s="25">
        <v>1218.8404800000001</v>
      </c>
      <c r="D16" s="25">
        <v>1036.014408</v>
      </c>
      <c r="E16" s="25">
        <v>8088.7023360000003</v>
      </c>
      <c r="F16" s="25">
        <v>6875.3969855999994</v>
      </c>
      <c r="G16" s="25">
        <v>1106.0999999999999</v>
      </c>
      <c r="I16" s="28"/>
      <c r="J16" s="28"/>
      <c r="K16" s="28"/>
      <c r="L16" s="28"/>
      <c r="M16" s="28"/>
      <c r="N16" s="28"/>
      <c r="O16" s="28"/>
      <c r="P16" s="28"/>
    </row>
    <row r="17" spans="2:16">
      <c r="B17" s="24" t="s">
        <v>31</v>
      </c>
      <c r="C17" s="25">
        <v>1366.6086720000001</v>
      </c>
      <c r="D17" s="25">
        <v>1161.6173712000002</v>
      </c>
      <c r="E17" s="25">
        <v>2329.696512</v>
      </c>
      <c r="F17" s="25">
        <v>1980.2420352000001</v>
      </c>
      <c r="G17" s="25">
        <v>7830.5</v>
      </c>
      <c r="I17" s="28"/>
      <c r="J17" s="28"/>
      <c r="K17" s="28"/>
      <c r="L17" s="28"/>
      <c r="M17" s="28"/>
      <c r="N17" s="28"/>
      <c r="O17" s="28"/>
      <c r="P17" s="28"/>
    </row>
    <row r="18" spans="2:16">
      <c r="B18" s="24" t="s">
        <v>32</v>
      </c>
      <c r="C18" s="25">
        <v>9674.7393600000014</v>
      </c>
      <c r="D18" s="25">
        <v>8223.528456</v>
      </c>
      <c r="E18" s="25">
        <v>944.92569600000002</v>
      </c>
      <c r="F18" s="25">
        <v>803.18684159999998</v>
      </c>
      <c r="G18" s="25">
        <v>12247.339104000002</v>
      </c>
      <c r="I18" s="28"/>
      <c r="J18" s="28"/>
      <c r="K18" s="28"/>
      <c r="L18" s="28"/>
      <c r="M18" s="28"/>
      <c r="N18" s="28"/>
      <c r="O18" s="28"/>
      <c r="P18" s="28"/>
    </row>
    <row r="19" spans="2:16">
      <c r="B19" s="24" t="s">
        <v>33</v>
      </c>
      <c r="C19" s="25">
        <v>868.12000000000012</v>
      </c>
      <c r="D19" s="25">
        <v>937.56960000000004</v>
      </c>
      <c r="E19" s="25">
        <v>1218.8404800000001</v>
      </c>
      <c r="F19" s="25">
        <v>1036.014408</v>
      </c>
      <c r="G19" s="25">
        <v>8088.7023360000003</v>
      </c>
      <c r="I19" s="28"/>
      <c r="J19" s="28"/>
      <c r="K19" s="28"/>
      <c r="L19" s="28"/>
      <c r="M19" s="28"/>
      <c r="N19" s="28"/>
      <c r="O19" s="28"/>
      <c r="P19" s="28"/>
    </row>
    <row r="20" spans="2:16">
      <c r="B20" s="24" t="s">
        <v>34</v>
      </c>
      <c r="C20" s="25">
        <v>973.36800000000005</v>
      </c>
      <c r="D20" s="25">
        <v>1051.2374400000001</v>
      </c>
      <c r="E20" s="25">
        <v>1366.6086720000001</v>
      </c>
      <c r="F20" s="25">
        <v>1161.6173712000002</v>
      </c>
      <c r="G20" s="25">
        <v>2329.696512</v>
      </c>
      <c r="I20" s="28"/>
      <c r="J20" s="28"/>
      <c r="K20" s="28"/>
      <c r="L20" s="28"/>
      <c r="M20" s="28"/>
      <c r="N20" s="28"/>
      <c r="O20" s="28"/>
      <c r="P20" s="28"/>
    </row>
    <row r="21" spans="2:16">
      <c r="B21" s="24" t="s">
        <v>35</v>
      </c>
      <c r="C21" s="25">
        <v>6890.8399999999992</v>
      </c>
      <c r="D21" s="25">
        <v>7442.1072000000013</v>
      </c>
      <c r="E21" s="25">
        <v>9674.7393600000014</v>
      </c>
      <c r="F21" s="25">
        <v>8223.528456</v>
      </c>
      <c r="G21" s="25">
        <v>944.92569600000002</v>
      </c>
      <c r="I21" s="28"/>
      <c r="J21" s="28"/>
      <c r="K21" s="28"/>
      <c r="L21" s="28"/>
      <c r="M21" s="28"/>
      <c r="N21" s="28"/>
      <c r="O21" s="28"/>
      <c r="P21" s="28"/>
    </row>
    <row r="22" spans="2:16">
      <c r="B22" s="24" t="s">
        <v>36</v>
      </c>
      <c r="C22" s="25">
        <v>2049.9130080000004</v>
      </c>
      <c r="D22" s="25">
        <v>1742.4260568000002</v>
      </c>
      <c r="E22" s="25">
        <v>3494.5447679999997</v>
      </c>
      <c r="F22" s="25">
        <v>2970.3630528000003</v>
      </c>
      <c r="G22" s="25">
        <v>11745.75</v>
      </c>
      <c r="I22" s="28"/>
      <c r="J22" s="28"/>
      <c r="K22" s="28"/>
      <c r="L22" s="28"/>
      <c r="M22" s="28"/>
      <c r="N22" s="28"/>
      <c r="O22" s="28"/>
      <c r="P22" s="28"/>
    </row>
    <row r="23" spans="2:16">
      <c r="I23" s="28"/>
      <c r="J23" s="28"/>
      <c r="K23" s="28"/>
      <c r="L23" s="28"/>
      <c r="M23" s="28"/>
      <c r="N23" s="28"/>
      <c r="O23" s="28"/>
      <c r="P23" s="28"/>
    </row>
    <row r="24" spans="2:16">
      <c r="I24" s="28"/>
      <c r="J24" s="28"/>
      <c r="K24" s="28"/>
      <c r="L24" s="28"/>
      <c r="M24" s="28"/>
      <c r="N24" s="28"/>
      <c r="O24" s="28"/>
      <c r="P24" s="28"/>
    </row>
    <row r="25" spans="2:16">
      <c r="I25" s="28"/>
      <c r="J25" s="28"/>
      <c r="K25" s="28"/>
      <c r="L25" s="28"/>
      <c r="M25" s="28"/>
      <c r="N25" s="28"/>
      <c r="O25" s="28"/>
      <c r="P25" s="28"/>
    </row>
    <row r="26" spans="2:16">
      <c r="I26" s="28"/>
      <c r="J26" s="28"/>
      <c r="K26" s="28"/>
      <c r="L26" s="28"/>
      <c r="M26" s="28"/>
      <c r="N26" s="28"/>
      <c r="O26" s="28"/>
      <c r="P26" s="28"/>
    </row>
    <row r="27" spans="2:16">
      <c r="I27" s="28"/>
      <c r="J27" s="28"/>
      <c r="K27" s="28"/>
      <c r="L27" s="28"/>
      <c r="M27" s="28"/>
      <c r="N27" s="28"/>
      <c r="O27" s="28"/>
      <c r="P27" s="28"/>
    </row>
    <row r="28" spans="2:16">
      <c r="I28" s="28"/>
      <c r="J28" s="28"/>
      <c r="K28" s="28"/>
      <c r="L28" s="28"/>
      <c r="M28" s="28"/>
      <c r="N28" s="28"/>
      <c r="O28" s="28"/>
      <c r="P28" s="28"/>
    </row>
    <row r="29" spans="2:16">
      <c r="I29" s="28"/>
      <c r="J29" s="28"/>
      <c r="K29" s="28"/>
      <c r="L29" s="28"/>
      <c r="M29" s="28"/>
      <c r="N29" s="28"/>
      <c r="O29" s="28"/>
      <c r="P29" s="28"/>
    </row>
    <row r="30" spans="2:16">
      <c r="I30" s="28"/>
      <c r="J30" s="28"/>
      <c r="K30" s="28"/>
      <c r="L30" s="28"/>
      <c r="M30" s="28"/>
      <c r="N30" s="28"/>
      <c r="O30" s="28"/>
      <c r="P30" s="28"/>
    </row>
    <row r="31" spans="2:16">
      <c r="I31" s="28"/>
      <c r="J31" s="28"/>
      <c r="K31" s="28"/>
      <c r="L31" s="28"/>
      <c r="M31" s="28"/>
      <c r="N31" s="28"/>
      <c r="O31" s="28"/>
      <c r="P31" s="28"/>
    </row>
    <row r="32" spans="2:16">
      <c r="I32" s="28"/>
      <c r="J32" s="28"/>
      <c r="K32" s="28"/>
      <c r="L32" s="28"/>
      <c r="M32" s="28"/>
      <c r="N32" s="28"/>
      <c r="O32" s="28"/>
      <c r="P32" s="28"/>
    </row>
    <row r="33" spans="9:16">
      <c r="I33" s="28"/>
      <c r="J33" s="28"/>
      <c r="K33" s="28"/>
      <c r="L33" s="28"/>
      <c r="M33" s="28"/>
      <c r="N33" s="28"/>
      <c r="O33" s="28"/>
      <c r="P33" s="28"/>
    </row>
    <row r="34" spans="9:16">
      <c r="I34" s="28"/>
      <c r="J34" s="28"/>
      <c r="K34" s="28"/>
      <c r="L34" s="28"/>
      <c r="M34" s="28"/>
      <c r="N34" s="28"/>
      <c r="O34" s="28"/>
      <c r="P34" s="28"/>
    </row>
    <row r="35" spans="9:16">
      <c r="I35" s="28"/>
      <c r="J35" s="28"/>
      <c r="K35" s="28"/>
      <c r="L35" s="28"/>
      <c r="M35" s="28"/>
      <c r="N35" s="28"/>
      <c r="O35" s="28"/>
      <c r="P35" s="28"/>
    </row>
    <row r="36" spans="9:16">
      <c r="I36" s="28"/>
      <c r="J36" s="28"/>
      <c r="K36" s="28"/>
      <c r="L36" s="28"/>
      <c r="M36" s="28"/>
      <c r="N36" s="28"/>
      <c r="O36" s="28"/>
      <c r="P36" s="28"/>
    </row>
  </sheetData>
  <mergeCells count="2">
    <mergeCell ref="I2:J2"/>
    <mergeCell ref="I6:J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EE99-DABC-584B-A383-27C59054D973}">
  <dimension ref="B2:P36"/>
  <sheetViews>
    <sheetView zoomScale="140" zoomScaleNormal="140" workbookViewId="0">
      <selection activeCell="J9" sqref="J9"/>
    </sheetView>
  </sheetViews>
  <sheetFormatPr defaultColWidth="10.77734375" defaultRowHeight="14.4"/>
  <cols>
    <col min="1" max="1" width="4.77734375" style="21" customWidth="1"/>
    <col min="2" max="2" width="10" style="21" bestFit="1" customWidth="1"/>
    <col min="3" max="7" width="8.6640625" style="21" bestFit="1" customWidth="1"/>
    <col min="8" max="8" width="8.33203125" style="21" customWidth="1"/>
    <col min="9" max="16384" width="10.77734375" style="21"/>
  </cols>
  <sheetData>
    <row r="2" spans="2:16">
      <c r="B2" s="22" t="s">
        <v>13</v>
      </c>
      <c r="C2" s="23" t="s">
        <v>12</v>
      </c>
      <c r="D2" s="23" t="s">
        <v>14</v>
      </c>
      <c r="E2" s="23" t="s">
        <v>15</v>
      </c>
      <c r="F2" s="23" t="s">
        <v>16</v>
      </c>
      <c r="G2" s="23" t="s">
        <v>17</v>
      </c>
      <c r="I2" s="34" t="s">
        <v>38</v>
      </c>
      <c r="J2" s="34"/>
      <c r="K2" s="34"/>
    </row>
    <row r="3" spans="2:16">
      <c r="B3" s="24" t="s">
        <v>18</v>
      </c>
      <c r="C3" s="25">
        <v>9279.9</v>
      </c>
      <c r="D3" s="25">
        <v>10022.292000000001</v>
      </c>
      <c r="E3" s="25">
        <v>13028.979600000002</v>
      </c>
      <c r="F3" s="25">
        <v>11074.632660000001</v>
      </c>
      <c r="G3" s="25">
        <v>10410.1547004</v>
      </c>
      <c r="I3" s="26" t="s">
        <v>13</v>
      </c>
      <c r="J3" s="26" t="s">
        <v>16</v>
      </c>
      <c r="K3" s="26" t="s">
        <v>12</v>
      </c>
    </row>
    <row r="4" spans="2:16">
      <c r="B4" s="24" t="s">
        <v>19</v>
      </c>
      <c r="C4" s="25">
        <v>66656.600000000006</v>
      </c>
      <c r="D4" s="25">
        <v>71989.127999999997</v>
      </c>
      <c r="E4" s="25">
        <v>68389.671600000001</v>
      </c>
      <c r="F4" s="25">
        <v>64970.188020000001</v>
      </c>
      <c r="G4" s="25">
        <v>61721.678618999998</v>
      </c>
      <c r="I4" s="27" t="s">
        <v>28</v>
      </c>
      <c r="J4" s="35" cm="1">
        <f t="array" ref="J4">_xlfn.XLOOKUP($I$4,Table35[[#All],[Country]],Table35[[#All],[April]])</f>
        <v>8456.94</v>
      </c>
      <c r="K4" s="35" cm="1">
        <f t="array" ref="K4">_xlfn.XLOOKUP($I$4,Table35[[#All],[Country]],Table35[[#All],[January]])</f>
        <v>2329.696512</v>
      </c>
    </row>
    <row r="5" spans="2:16">
      <c r="B5" s="24" t="s">
        <v>20</v>
      </c>
      <c r="C5" s="25">
        <v>9912.7000000000007</v>
      </c>
      <c r="D5" s="25">
        <v>10705.716</v>
      </c>
      <c r="E5" s="25">
        <v>13917.430800000002</v>
      </c>
      <c r="F5" s="25">
        <v>11829.816180000002</v>
      </c>
      <c r="G5" s="25">
        <v>11120.027209200001</v>
      </c>
    </row>
    <row r="6" spans="2:16">
      <c r="B6" s="24" t="s">
        <v>11</v>
      </c>
      <c r="C6" s="25">
        <v>6546.8</v>
      </c>
      <c r="D6" s="25">
        <v>7070.5439999999999</v>
      </c>
      <c r="E6" s="25">
        <v>9191.7072000000007</v>
      </c>
      <c r="F6" s="25">
        <v>7812.9511199999997</v>
      </c>
      <c r="G6" s="25">
        <v>7344.1740527999991</v>
      </c>
      <c r="I6" s="34" t="s">
        <v>9</v>
      </c>
      <c r="J6" s="34"/>
      <c r="K6" s="34"/>
    </row>
    <row r="7" spans="2:16">
      <c r="B7" s="24" t="s">
        <v>21</v>
      </c>
      <c r="C7" s="25">
        <v>1885.6</v>
      </c>
      <c r="D7" s="25">
        <v>2036.4479999999999</v>
      </c>
      <c r="E7" s="25">
        <v>2647.3824</v>
      </c>
      <c r="F7" s="25">
        <v>2250.27504</v>
      </c>
      <c r="G7" s="25">
        <v>2115.2585375999997</v>
      </c>
      <c r="I7" s="26" t="s">
        <v>13</v>
      </c>
      <c r="J7" s="26" t="s">
        <v>16</v>
      </c>
      <c r="K7" s="26" t="s">
        <v>12</v>
      </c>
    </row>
    <row r="8" spans="2:16">
      <c r="B8" s="24" t="s">
        <v>22</v>
      </c>
      <c r="C8" s="25">
        <v>764.8</v>
      </c>
      <c r="D8" s="25">
        <v>825.98400000000004</v>
      </c>
      <c r="E8" s="25">
        <v>1073.7792000000002</v>
      </c>
      <c r="F8" s="25">
        <v>912.71231999999998</v>
      </c>
      <c r="G8" s="25">
        <v>857.94958079999992</v>
      </c>
      <c r="I8" s="27" t="s">
        <v>28</v>
      </c>
      <c r="J8" s="35">
        <f>DGET(Table35[#All],J7,$I$7:$I$8)</f>
        <v>8456.94</v>
      </c>
      <c r="K8" s="35">
        <f>DGET(Table35[#All],K7,$I$7:$I$8)</f>
        <v>2329.696512</v>
      </c>
    </row>
    <row r="9" spans="2:16">
      <c r="B9" s="24" t="s">
        <v>23</v>
      </c>
      <c r="C9" s="25">
        <v>986.5</v>
      </c>
      <c r="D9" s="25">
        <v>1065.42</v>
      </c>
      <c r="E9" s="25">
        <v>1385.046</v>
      </c>
      <c r="F9" s="25">
        <v>1177.2891</v>
      </c>
      <c r="G9" s="25">
        <v>1106.651754</v>
      </c>
      <c r="I9" s="27"/>
    </row>
    <row r="10" spans="2:16">
      <c r="B10" s="24" t="s">
        <v>24</v>
      </c>
      <c r="C10" s="25">
        <v>1106.0999999999999</v>
      </c>
      <c r="D10" s="25">
        <v>1194.5880000000002</v>
      </c>
      <c r="E10" s="25">
        <v>1552.9644000000003</v>
      </c>
      <c r="F10" s="25">
        <v>1320.0197400000002</v>
      </c>
      <c r="G10" s="25">
        <v>1240.8185556000001</v>
      </c>
      <c r="I10" s="30"/>
      <c r="J10" s="30"/>
    </row>
    <row r="11" spans="2:16">
      <c r="B11" s="24" t="s">
        <v>25</v>
      </c>
      <c r="C11" s="25">
        <v>7830.5</v>
      </c>
      <c r="D11" s="25">
        <v>8456.94</v>
      </c>
      <c r="E11" s="25">
        <v>10994.022000000001</v>
      </c>
      <c r="F11" s="25">
        <v>9344.9187000000002</v>
      </c>
      <c r="G11" s="25">
        <v>8784.223578000001</v>
      </c>
      <c r="I11" s="28"/>
      <c r="J11" s="28"/>
      <c r="K11" s="28"/>
      <c r="L11" s="28"/>
      <c r="M11" s="28"/>
      <c r="N11" s="28"/>
      <c r="O11" s="28"/>
      <c r="P11" s="28"/>
    </row>
    <row r="12" spans="2:16">
      <c r="B12" s="24" t="s">
        <v>26</v>
      </c>
      <c r="C12" s="25">
        <v>12247.339104000002</v>
      </c>
      <c r="D12" s="25">
        <v>10410.238238400001</v>
      </c>
      <c r="E12" s="25">
        <v>986.5</v>
      </c>
      <c r="F12" s="25">
        <v>1065.42</v>
      </c>
      <c r="G12" s="25">
        <v>1385.046</v>
      </c>
      <c r="I12" s="28"/>
      <c r="J12" s="28"/>
      <c r="K12" s="28"/>
      <c r="L12" s="28"/>
      <c r="M12" s="28"/>
      <c r="N12" s="28"/>
      <c r="O12" s="28"/>
      <c r="P12" s="28"/>
    </row>
    <row r="13" spans="2:16">
      <c r="B13" s="24" t="s">
        <v>27</v>
      </c>
      <c r="C13" s="25">
        <v>8088.7023360000003</v>
      </c>
      <c r="D13" s="25">
        <v>6875.3969855999994</v>
      </c>
      <c r="E13" s="25">
        <v>1106.0999999999999</v>
      </c>
      <c r="F13" s="25">
        <v>1194.5880000000002</v>
      </c>
      <c r="G13" s="25">
        <v>1552.9644000000003</v>
      </c>
      <c r="I13" s="28"/>
      <c r="J13" s="28"/>
      <c r="K13" s="28"/>
      <c r="L13" s="28"/>
      <c r="M13" s="28"/>
      <c r="N13" s="28"/>
      <c r="O13" s="28"/>
      <c r="P13" s="28"/>
    </row>
    <row r="14" spans="2:16">
      <c r="B14" s="24" t="s">
        <v>28</v>
      </c>
      <c r="C14" s="25">
        <v>2329.696512</v>
      </c>
      <c r="D14" s="25">
        <v>1980.2420352000001</v>
      </c>
      <c r="E14" s="25">
        <v>7830.5</v>
      </c>
      <c r="F14" s="25">
        <v>8456.94</v>
      </c>
      <c r="G14" s="25">
        <v>10994.022000000001</v>
      </c>
      <c r="I14" s="28"/>
      <c r="J14" s="28"/>
      <c r="K14" s="28"/>
      <c r="L14" s="28"/>
      <c r="M14" s="28"/>
      <c r="N14" s="28"/>
      <c r="O14" s="28"/>
      <c r="P14" s="28"/>
    </row>
    <row r="15" spans="2:16">
      <c r="B15" s="24" t="s">
        <v>29</v>
      </c>
      <c r="C15" s="25">
        <v>944.92569600000002</v>
      </c>
      <c r="D15" s="25">
        <v>803.18684159999998</v>
      </c>
      <c r="E15" s="25">
        <v>12247.339104000002</v>
      </c>
      <c r="F15" s="25">
        <v>10410.238238400001</v>
      </c>
      <c r="G15" s="25">
        <v>986.5</v>
      </c>
      <c r="I15" s="28"/>
      <c r="J15" s="28"/>
      <c r="K15" s="28"/>
      <c r="L15" s="28"/>
      <c r="M15" s="28"/>
      <c r="N15" s="28"/>
      <c r="O15" s="28"/>
      <c r="P15" s="28"/>
    </row>
    <row r="16" spans="2:16">
      <c r="B16" s="24" t="s">
        <v>30</v>
      </c>
      <c r="C16" s="25">
        <v>1218.8404800000001</v>
      </c>
      <c r="D16" s="25">
        <v>1036.014408</v>
      </c>
      <c r="E16" s="25">
        <v>8088.7023360000003</v>
      </c>
      <c r="F16" s="25">
        <v>6875.3969855999994</v>
      </c>
      <c r="G16" s="25">
        <v>1106.0999999999999</v>
      </c>
      <c r="I16" s="28"/>
      <c r="J16" s="28"/>
      <c r="K16" s="28"/>
      <c r="L16" s="28"/>
      <c r="M16" s="28"/>
      <c r="N16" s="28"/>
      <c r="O16" s="28"/>
      <c r="P16" s="28"/>
    </row>
    <row r="17" spans="2:16">
      <c r="B17" s="24" t="s">
        <v>31</v>
      </c>
      <c r="C17" s="25">
        <v>1366.6086720000001</v>
      </c>
      <c r="D17" s="25">
        <v>1161.6173712000002</v>
      </c>
      <c r="E17" s="25">
        <v>2329.696512</v>
      </c>
      <c r="F17" s="25">
        <v>1980.2420352000001</v>
      </c>
      <c r="G17" s="25">
        <v>7830.5</v>
      </c>
      <c r="I17" s="28"/>
      <c r="J17" s="28"/>
      <c r="K17" s="28"/>
      <c r="L17" s="28"/>
      <c r="M17" s="28"/>
      <c r="N17" s="28"/>
      <c r="O17" s="28"/>
      <c r="P17" s="28"/>
    </row>
    <row r="18" spans="2:16">
      <c r="B18" s="24" t="s">
        <v>32</v>
      </c>
      <c r="C18" s="25">
        <v>9674.7393600000014</v>
      </c>
      <c r="D18" s="25">
        <v>8223.528456</v>
      </c>
      <c r="E18" s="25">
        <v>944.92569600000002</v>
      </c>
      <c r="F18" s="25">
        <v>803.18684159999998</v>
      </c>
      <c r="G18" s="25">
        <v>12247.339104000002</v>
      </c>
      <c r="I18" s="28"/>
      <c r="J18" s="28"/>
      <c r="K18" s="28"/>
      <c r="L18" s="28"/>
      <c r="M18" s="28"/>
      <c r="N18" s="28"/>
      <c r="O18" s="28"/>
      <c r="P18" s="28"/>
    </row>
    <row r="19" spans="2:16">
      <c r="B19" s="24" t="s">
        <v>33</v>
      </c>
      <c r="C19" s="25">
        <v>868.12000000000012</v>
      </c>
      <c r="D19" s="25">
        <v>937.56960000000004</v>
      </c>
      <c r="E19" s="25">
        <v>1218.8404800000001</v>
      </c>
      <c r="F19" s="25">
        <v>1036.014408</v>
      </c>
      <c r="G19" s="25">
        <v>8088.7023360000003</v>
      </c>
      <c r="I19" s="28"/>
      <c r="J19" s="28"/>
      <c r="K19" s="28"/>
      <c r="L19" s="28"/>
      <c r="M19" s="28"/>
      <c r="N19" s="28"/>
      <c r="O19" s="28"/>
      <c r="P19" s="28"/>
    </row>
    <row r="20" spans="2:16">
      <c r="B20" s="24" t="s">
        <v>34</v>
      </c>
      <c r="C20" s="25">
        <v>973.36800000000005</v>
      </c>
      <c r="D20" s="25">
        <v>1051.2374400000001</v>
      </c>
      <c r="E20" s="25">
        <v>1366.6086720000001</v>
      </c>
      <c r="F20" s="25">
        <v>1161.6173712000002</v>
      </c>
      <c r="G20" s="25">
        <v>2329.696512</v>
      </c>
      <c r="I20" s="28"/>
      <c r="J20" s="28"/>
      <c r="K20" s="28"/>
      <c r="L20" s="28"/>
      <c r="M20" s="28"/>
      <c r="N20" s="28"/>
      <c r="O20" s="28"/>
      <c r="P20" s="28"/>
    </row>
    <row r="21" spans="2:16">
      <c r="B21" s="24" t="s">
        <v>35</v>
      </c>
      <c r="C21" s="25">
        <v>6890.8399999999992</v>
      </c>
      <c r="D21" s="25">
        <v>7442.1072000000013</v>
      </c>
      <c r="E21" s="25">
        <v>9674.7393600000014</v>
      </c>
      <c r="F21" s="25">
        <v>8223.528456</v>
      </c>
      <c r="G21" s="25">
        <v>944.92569600000002</v>
      </c>
      <c r="I21" s="28"/>
      <c r="J21" s="28"/>
      <c r="K21" s="28"/>
      <c r="L21" s="28"/>
      <c r="M21" s="28"/>
      <c r="N21" s="28"/>
      <c r="O21" s="28"/>
      <c r="P21" s="28"/>
    </row>
    <row r="22" spans="2:16">
      <c r="B22" s="24" t="s">
        <v>36</v>
      </c>
      <c r="C22" s="25">
        <v>2049.9130080000004</v>
      </c>
      <c r="D22" s="25">
        <v>1742.4260568000002</v>
      </c>
      <c r="E22" s="25">
        <v>3494.5447679999997</v>
      </c>
      <c r="F22" s="25">
        <v>2970.3630528000003</v>
      </c>
      <c r="G22" s="25">
        <v>11745.75</v>
      </c>
      <c r="I22" s="28"/>
      <c r="J22" s="28"/>
      <c r="K22" s="28"/>
      <c r="L22" s="28"/>
      <c r="M22" s="28"/>
      <c r="N22" s="28"/>
      <c r="O22" s="28"/>
      <c r="P22" s="28"/>
    </row>
    <row r="23" spans="2:16">
      <c r="I23" s="28"/>
      <c r="J23" s="28"/>
      <c r="K23" s="28"/>
      <c r="L23" s="28"/>
      <c r="M23" s="28"/>
      <c r="N23" s="28"/>
      <c r="O23" s="28"/>
      <c r="P23" s="28"/>
    </row>
    <row r="24" spans="2:16">
      <c r="I24" s="28"/>
      <c r="J24" s="28"/>
      <c r="K24" s="28"/>
      <c r="L24" s="28"/>
      <c r="M24" s="28"/>
      <c r="N24" s="28"/>
      <c r="O24" s="28"/>
      <c r="P24" s="28"/>
    </row>
    <row r="25" spans="2:16">
      <c r="I25" s="28"/>
      <c r="J25" s="28"/>
      <c r="K25" s="28"/>
      <c r="L25" s="28"/>
      <c r="M25" s="28"/>
      <c r="N25" s="28"/>
      <c r="O25" s="28"/>
      <c r="P25" s="28"/>
    </row>
    <row r="26" spans="2:16">
      <c r="I26" s="28"/>
      <c r="J26" s="28"/>
      <c r="K26" s="28"/>
      <c r="L26" s="28"/>
      <c r="M26" s="28"/>
      <c r="N26" s="28"/>
      <c r="O26" s="28"/>
      <c r="P26" s="28"/>
    </row>
    <row r="27" spans="2:16">
      <c r="I27" s="28"/>
      <c r="J27" s="28"/>
      <c r="K27" s="28"/>
      <c r="L27" s="28"/>
      <c r="M27" s="28"/>
      <c r="N27" s="28"/>
      <c r="O27" s="28"/>
      <c r="P27" s="28"/>
    </row>
    <row r="28" spans="2:16">
      <c r="I28" s="28"/>
      <c r="J28" s="28"/>
      <c r="K28" s="28"/>
      <c r="L28" s="28"/>
      <c r="M28" s="28"/>
      <c r="N28" s="28"/>
      <c r="O28" s="28"/>
      <c r="P28" s="28"/>
    </row>
    <row r="29" spans="2:16">
      <c r="I29" s="28"/>
      <c r="J29" s="28"/>
      <c r="K29" s="28"/>
      <c r="L29" s="28"/>
      <c r="M29" s="28"/>
      <c r="N29" s="28"/>
      <c r="O29" s="28"/>
      <c r="P29" s="28"/>
    </row>
    <row r="30" spans="2:16">
      <c r="I30" s="28"/>
      <c r="J30" s="28"/>
      <c r="K30" s="28"/>
      <c r="L30" s="28"/>
      <c r="M30" s="28"/>
      <c r="N30" s="28"/>
      <c r="O30" s="28"/>
      <c r="P30" s="28"/>
    </row>
    <row r="31" spans="2:16">
      <c r="I31" s="28"/>
      <c r="J31" s="28"/>
      <c r="K31" s="28"/>
      <c r="L31" s="28"/>
      <c r="M31" s="28"/>
      <c r="N31" s="28"/>
      <c r="O31" s="28"/>
      <c r="P31" s="28"/>
    </row>
    <row r="32" spans="2:16">
      <c r="I32" s="28"/>
      <c r="J32" s="28"/>
      <c r="K32" s="28"/>
      <c r="L32" s="28"/>
      <c r="M32" s="28"/>
      <c r="N32" s="28"/>
      <c r="O32" s="28"/>
      <c r="P32" s="28"/>
    </row>
    <row r="33" spans="9:16">
      <c r="I33" s="28"/>
      <c r="J33" s="28"/>
      <c r="K33" s="28"/>
      <c r="L33" s="28"/>
      <c r="M33" s="28"/>
      <c r="N33" s="28"/>
      <c r="O33" s="28"/>
      <c r="P33" s="28"/>
    </row>
    <row r="34" spans="9:16">
      <c r="I34" s="28"/>
      <c r="J34" s="28"/>
      <c r="K34" s="28"/>
      <c r="L34" s="28"/>
      <c r="M34" s="28"/>
      <c r="N34" s="28"/>
      <c r="O34" s="28"/>
      <c r="P34" s="28"/>
    </row>
    <row r="35" spans="9:16">
      <c r="I35" s="28"/>
      <c r="J35" s="28"/>
      <c r="K35" s="28"/>
      <c r="L35" s="28"/>
      <c r="M35" s="28"/>
      <c r="N35" s="28"/>
      <c r="O35" s="28"/>
      <c r="P35" s="28"/>
    </row>
    <row r="36" spans="9:16">
      <c r="I36" s="28"/>
      <c r="J36" s="28"/>
      <c r="K36" s="28"/>
      <c r="L36" s="28"/>
      <c r="M36" s="28"/>
      <c r="N36" s="28"/>
      <c r="O36" s="28"/>
      <c r="P36" s="28"/>
    </row>
  </sheetData>
  <mergeCells count="2">
    <mergeCell ref="I2:K2"/>
    <mergeCell ref="I6:K6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A5F3-1695-4A42-8132-CC97301C4AFB}">
  <dimension ref="B2:F18"/>
  <sheetViews>
    <sheetView zoomScale="140" zoomScaleNormal="140" workbookViewId="0">
      <selection activeCell="F8" sqref="F8"/>
    </sheetView>
  </sheetViews>
  <sheetFormatPr defaultColWidth="10.77734375" defaultRowHeight="14.4"/>
  <cols>
    <col min="1" max="1" width="4.33203125" style="21" customWidth="1"/>
    <col min="2" max="2" width="15.33203125" style="21" bestFit="1" customWidth="1"/>
    <col min="3" max="3" width="10.77734375" style="21" bestFit="1" customWidth="1"/>
    <col min="4" max="4" width="10.77734375" style="21"/>
    <col min="5" max="5" width="13.109375" style="21" bestFit="1" customWidth="1"/>
    <col min="6" max="16384" width="10.77734375" style="21"/>
  </cols>
  <sheetData>
    <row r="2" spans="2:6">
      <c r="B2" s="20" t="s">
        <v>0</v>
      </c>
      <c r="C2" s="23" t="s">
        <v>1</v>
      </c>
      <c r="E2" s="34" t="s">
        <v>38</v>
      </c>
      <c r="F2" s="34"/>
    </row>
    <row r="3" spans="2:6">
      <c r="B3" t="s">
        <v>39</v>
      </c>
      <c r="C3" s="25">
        <v>92799</v>
      </c>
      <c r="E3" s="26" t="s">
        <v>0</v>
      </c>
      <c r="F3" s="26" t="s">
        <v>1</v>
      </c>
    </row>
    <row r="4" spans="2:6">
      <c r="B4" t="s">
        <v>40</v>
      </c>
      <c r="C4" s="25">
        <v>666566</v>
      </c>
      <c r="E4" s="27" t="s">
        <v>71</v>
      </c>
      <c r="F4" s="36" cm="1">
        <f t="array" ref="F4">_xlfn.XLOOKUP(E4&amp;"*",Table26[[#All],[Name]],Table26[[#All],[Sales]],,2)</f>
        <v>11061</v>
      </c>
    </row>
    <row r="5" spans="2:6">
      <c r="B5" t="s">
        <v>41</v>
      </c>
      <c r="C5" s="25">
        <v>99127</v>
      </c>
    </row>
    <row r="6" spans="2:6">
      <c r="B6" t="s">
        <v>42</v>
      </c>
      <c r="C6" s="25">
        <v>65468</v>
      </c>
      <c r="E6" s="34" t="s">
        <v>9</v>
      </c>
      <c r="F6" s="34"/>
    </row>
    <row r="7" spans="2:6">
      <c r="B7" t="s">
        <v>43</v>
      </c>
      <c r="C7" s="25">
        <v>18856</v>
      </c>
      <c r="E7" s="26" t="s">
        <v>0</v>
      </c>
      <c r="F7" s="26" t="s">
        <v>1</v>
      </c>
    </row>
    <row r="8" spans="2:6">
      <c r="B8" t="s">
        <v>44</v>
      </c>
      <c r="C8" s="25">
        <v>7648</v>
      </c>
      <c r="E8" s="27" t="s">
        <v>71</v>
      </c>
      <c r="F8" s="36">
        <f>DGET(Table26[#All],F7,E7:E8)</f>
        <v>11061</v>
      </c>
    </row>
    <row r="9" spans="2:6">
      <c r="B9" t="s">
        <v>45</v>
      </c>
      <c r="C9" s="25">
        <v>9865</v>
      </c>
    </row>
    <row r="10" spans="2:6">
      <c r="B10" t="s">
        <v>46</v>
      </c>
      <c r="C10" s="25">
        <v>11061</v>
      </c>
    </row>
    <row r="11" spans="2:6">
      <c r="B11" t="s">
        <v>47</v>
      </c>
      <c r="C11" s="25">
        <v>78305</v>
      </c>
    </row>
    <row r="12" spans="2:6">
      <c r="B12" t="s">
        <v>48</v>
      </c>
      <c r="C12" s="25">
        <v>122473.39104000002</v>
      </c>
    </row>
    <row r="13" spans="2:6">
      <c r="B13" t="s">
        <v>49</v>
      </c>
      <c r="C13" s="25">
        <v>80887.023360000007</v>
      </c>
    </row>
    <row r="14" spans="2:6">
      <c r="B14" t="s">
        <v>50</v>
      </c>
      <c r="C14" s="25">
        <v>23296.965120000001</v>
      </c>
    </row>
    <row r="15" spans="2:6">
      <c r="B15" t="s">
        <v>51</v>
      </c>
      <c r="C15" s="25">
        <v>9449.2569600000006</v>
      </c>
    </row>
    <row r="16" spans="2:6">
      <c r="B16" t="s">
        <v>52</v>
      </c>
      <c r="C16" s="25">
        <v>12188.4048</v>
      </c>
    </row>
    <row r="17" spans="2:3">
      <c r="B17" t="s">
        <v>53</v>
      </c>
      <c r="C17" s="25">
        <v>13666.086720000001</v>
      </c>
    </row>
    <row r="18" spans="2:3">
      <c r="B18" t="s">
        <v>54</v>
      </c>
      <c r="C18" s="25">
        <v>96747.39360000001</v>
      </c>
    </row>
  </sheetData>
  <mergeCells count="2">
    <mergeCell ref="E2:F2"/>
    <mergeCell ref="E6:F6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41BD-C2F6-C943-B866-4835C703BFB2}">
  <dimension ref="B2:P36"/>
  <sheetViews>
    <sheetView zoomScale="140" zoomScaleNormal="140" workbookViewId="0">
      <selection activeCell="J11" sqref="J11"/>
    </sheetView>
  </sheetViews>
  <sheetFormatPr defaultColWidth="10.77734375" defaultRowHeight="14.4"/>
  <cols>
    <col min="1" max="1" width="4.77734375" style="21" customWidth="1"/>
    <col min="2" max="2" width="10" style="21" bestFit="1" customWidth="1"/>
    <col min="3" max="7" width="8.6640625" style="21" bestFit="1" customWidth="1"/>
    <col min="8" max="8" width="8.33203125" style="21" customWidth="1"/>
    <col min="9" max="16384" width="10.77734375" style="21"/>
  </cols>
  <sheetData>
    <row r="2" spans="2:16">
      <c r="B2" s="22" t="s">
        <v>13</v>
      </c>
      <c r="C2" s="23" t="s">
        <v>12</v>
      </c>
      <c r="D2" s="23" t="s">
        <v>14</v>
      </c>
      <c r="E2" s="23" t="s">
        <v>15</v>
      </c>
      <c r="F2" s="23" t="s">
        <v>16</v>
      </c>
      <c r="G2" s="23" t="s">
        <v>17</v>
      </c>
      <c r="I2" s="34" t="s">
        <v>37</v>
      </c>
      <c r="J2" s="34"/>
    </row>
    <row r="3" spans="2:16">
      <c r="B3" s="24" t="s">
        <v>18</v>
      </c>
      <c r="C3" s="25">
        <v>9279.9</v>
      </c>
      <c r="D3" s="25">
        <v>10022.292000000001</v>
      </c>
      <c r="E3" s="25">
        <v>13028.979600000002</v>
      </c>
      <c r="F3" s="25">
        <v>11074.632660000001</v>
      </c>
      <c r="G3" s="25">
        <v>10410.1547004</v>
      </c>
      <c r="I3" s="26" t="s">
        <v>13</v>
      </c>
      <c r="J3" s="26" t="s">
        <v>16</v>
      </c>
    </row>
    <row r="4" spans="2:16">
      <c r="B4" s="24" t="s">
        <v>19</v>
      </c>
      <c r="C4" s="25">
        <v>66656.600000000006</v>
      </c>
      <c r="D4" s="25">
        <v>71989.127999999997</v>
      </c>
      <c r="E4" s="25">
        <v>68389.671600000001</v>
      </c>
      <c r="F4" s="25">
        <v>64970.188020000001</v>
      </c>
      <c r="G4" s="25">
        <v>61721.678618999998</v>
      </c>
      <c r="I4" s="27" t="s">
        <v>28</v>
      </c>
      <c r="J4" s="29">
        <f>INDEX(Table32[#All],MATCH(I4,Table32[[#All],[Country]],0),MATCH(J3,Table32[#Headers],0))</f>
        <v>8456.94</v>
      </c>
      <c r="K4" s="29"/>
    </row>
    <row r="5" spans="2:16">
      <c r="B5" s="24" t="s">
        <v>20</v>
      </c>
      <c r="C5" s="25">
        <v>9912.7000000000007</v>
      </c>
      <c r="D5" s="25">
        <v>10705.716</v>
      </c>
      <c r="E5" s="25">
        <v>13917.430800000002</v>
      </c>
      <c r="F5" s="25">
        <v>11829.816180000002</v>
      </c>
      <c r="G5" s="25">
        <v>11120.027209200001</v>
      </c>
    </row>
    <row r="6" spans="2:16">
      <c r="B6" s="24" t="s">
        <v>11</v>
      </c>
      <c r="C6" s="25">
        <v>6546.8</v>
      </c>
      <c r="D6" s="25">
        <v>7070.5439999999999</v>
      </c>
      <c r="E6" s="25">
        <v>9191.7072000000007</v>
      </c>
      <c r="F6" s="25">
        <v>7812.9511199999997</v>
      </c>
      <c r="G6" s="25">
        <v>7344.1740527999991</v>
      </c>
      <c r="I6" s="34" t="s">
        <v>9</v>
      </c>
      <c r="J6" s="34"/>
      <c r="K6" s="29"/>
    </row>
    <row r="7" spans="2:16">
      <c r="B7" s="24" t="s">
        <v>21</v>
      </c>
      <c r="C7" s="25">
        <v>1885.6</v>
      </c>
      <c r="D7" s="25">
        <v>2036.4479999999999</v>
      </c>
      <c r="E7" s="25">
        <v>2647.3824</v>
      </c>
      <c r="F7" s="25">
        <v>2250.27504</v>
      </c>
      <c r="G7" s="25">
        <v>2115.2585375999997</v>
      </c>
      <c r="I7" s="26" t="s">
        <v>13</v>
      </c>
      <c r="J7" s="26" t="s">
        <v>16</v>
      </c>
      <c r="K7" s="29"/>
    </row>
    <row r="8" spans="2:16">
      <c r="B8" s="24" t="s">
        <v>22</v>
      </c>
      <c r="C8" s="25">
        <v>764.8</v>
      </c>
      <c r="D8" s="25">
        <v>825.98400000000004</v>
      </c>
      <c r="E8" s="25">
        <v>1073.7792000000002</v>
      </c>
      <c r="F8" s="25">
        <v>912.71231999999998</v>
      </c>
      <c r="G8" s="25">
        <v>857.94958079999992</v>
      </c>
      <c r="I8" s="27" t="s">
        <v>28</v>
      </c>
      <c r="J8" s="29">
        <f>DGET(Table32[#All],J7,I7:I8)</f>
        <v>8456.94</v>
      </c>
      <c r="K8" s="29"/>
    </row>
    <row r="9" spans="2:16">
      <c r="B9" s="24" t="s">
        <v>23</v>
      </c>
      <c r="C9" s="25">
        <v>986.5</v>
      </c>
      <c r="D9" s="25">
        <v>1065.42</v>
      </c>
      <c r="E9" s="25">
        <v>1385.046</v>
      </c>
      <c r="F9" s="25">
        <v>1177.2891</v>
      </c>
      <c r="G9" s="25">
        <v>1106.651754</v>
      </c>
    </row>
    <row r="10" spans="2:16">
      <c r="B10" s="24" t="s">
        <v>24</v>
      </c>
      <c r="C10" s="25">
        <v>1106.0999999999999</v>
      </c>
      <c r="D10" s="25">
        <v>1194.5880000000002</v>
      </c>
      <c r="E10" s="25">
        <v>1552.9644000000003</v>
      </c>
      <c r="F10" s="25">
        <v>1320.0197400000002</v>
      </c>
      <c r="G10" s="25">
        <v>1240.8185556000001</v>
      </c>
      <c r="I10" s="33" t="s">
        <v>68</v>
      </c>
      <c r="J10" s="27" t="s">
        <v>28</v>
      </c>
    </row>
    <row r="11" spans="2:16">
      <c r="B11" s="24" t="s">
        <v>25</v>
      </c>
      <c r="C11" s="25">
        <v>7830.5</v>
      </c>
      <c r="D11" s="25">
        <v>8456.94</v>
      </c>
      <c r="E11" s="25">
        <v>10994.022000000001</v>
      </c>
      <c r="F11" s="25">
        <v>9344.9187000000002</v>
      </c>
      <c r="G11" s="25">
        <v>8784.223578000001</v>
      </c>
      <c r="I11" s="33" t="s">
        <v>69</v>
      </c>
      <c r="J11" s="27" t="s">
        <v>16</v>
      </c>
      <c r="K11" s="28"/>
      <c r="L11" s="28"/>
      <c r="M11" s="28"/>
      <c r="N11" s="28"/>
      <c r="O11" s="28"/>
      <c r="P11" s="28"/>
    </row>
    <row r="12" spans="2:16">
      <c r="B12" s="24" t="s">
        <v>26</v>
      </c>
      <c r="C12" s="25">
        <v>12247.339104000002</v>
      </c>
      <c r="D12" s="25">
        <v>10410.238238400001</v>
      </c>
      <c r="E12" s="25">
        <v>986.5</v>
      </c>
      <c r="F12" s="25">
        <v>1065.42</v>
      </c>
      <c r="G12" s="25">
        <v>1385.046</v>
      </c>
      <c r="I12" s="33" t="s">
        <v>70</v>
      </c>
      <c r="J12" s="32"/>
      <c r="K12" s="28"/>
      <c r="L12" s="28"/>
      <c r="M12" s="28"/>
      <c r="N12" s="28"/>
      <c r="O12" s="28"/>
      <c r="P12" s="28"/>
    </row>
    <row r="13" spans="2:16">
      <c r="B13" s="24" t="s">
        <v>27</v>
      </c>
      <c r="C13" s="25">
        <v>8088.7023360000003</v>
      </c>
      <c r="D13" s="25">
        <v>6875.3969855999994</v>
      </c>
      <c r="E13" s="25">
        <v>1106.0999999999999</v>
      </c>
      <c r="F13" s="25">
        <v>1194.5880000000002</v>
      </c>
      <c r="G13" s="25">
        <v>1552.9644000000003</v>
      </c>
      <c r="I13" s="28"/>
      <c r="J13" s="28"/>
      <c r="K13" s="28"/>
      <c r="L13" s="28"/>
      <c r="M13" s="28"/>
      <c r="N13" s="28"/>
      <c r="O13" s="28"/>
      <c r="P13" s="28"/>
    </row>
    <row r="14" spans="2:16">
      <c r="B14" s="24" t="s">
        <v>28</v>
      </c>
      <c r="C14" s="25">
        <v>2329.696512</v>
      </c>
      <c r="D14" s="25">
        <v>1980.2420352000001</v>
      </c>
      <c r="E14" s="25">
        <v>7830.5</v>
      </c>
      <c r="F14" s="25">
        <v>8456.94</v>
      </c>
      <c r="G14" s="25">
        <v>10994.022000000001</v>
      </c>
      <c r="I14" s="28"/>
      <c r="J14" s="28"/>
      <c r="K14" s="28"/>
      <c r="L14" s="28"/>
      <c r="M14" s="28"/>
      <c r="N14" s="28"/>
      <c r="O14" s="28"/>
      <c r="P14" s="28"/>
    </row>
    <row r="15" spans="2:16">
      <c r="B15" s="24" t="s">
        <v>29</v>
      </c>
      <c r="C15" s="25">
        <v>944.92569600000002</v>
      </c>
      <c r="D15" s="25">
        <v>803.18684159999998</v>
      </c>
      <c r="E15" s="25">
        <v>12247.339104000002</v>
      </c>
      <c r="F15" s="25">
        <v>10410.238238400001</v>
      </c>
      <c r="G15" s="25">
        <v>986.5</v>
      </c>
      <c r="I15" s="28"/>
      <c r="J15" s="28"/>
      <c r="K15" s="28"/>
      <c r="L15" s="28"/>
      <c r="M15" s="28"/>
      <c r="N15" s="28"/>
      <c r="O15" s="28"/>
      <c r="P15" s="28"/>
    </row>
    <row r="16" spans="2:16">
      <c r="B16" s="24" t="s">
        <v>30</v>
      </c>
      <c r="C16" s="25">
        <v>1218.8404800000001</v>
      </c>
      <c r="D16" s="25">
        <v>1036.014408</v>
      </c>
      <c r="E16" s="25">
        <v>8088.7023360000003</v>
      </c>
      <c r="F16" s="25">
        <v>6875.3969855999994</v>
      </c>
      <c r="G16" s="25">
        <v>1106.0999999999999</v>
      </c>
      <c r="I16" s="28"/>
      <c r="J16" s="28"/>
      <c r="K16" s="28"/>
      <c r="L16" s="28"/>
      <c r="M16" s="28"/>
      <c r="N16" s="28"/>
      <c r="O16" s="28"/>
      <c r="P16" s="28"/>
    </row>
    <row r="17" spans="2:16">
      <c r="B17" s="24" t="s">
        <v>31</v>
      </c>
      <c r="C17" s="25">
        <v>1366.6086720000001</v>
      </c>
      <c r="D17" s="25">
        <v>1161.6173712000002</v>
      </c>
      <c r="E17" s="25">
        <v>2329.696512</v>
      </c>
      <c r="F17" s="25">
        <v>1980.2420352000001</v>
      </c>
      <c r="G17" s="25">
        <v>7830.5</v>
      </c>
      <c r="I17" s="28"/>
      <c r="J17" s="28"/>
      <c r="K17" s="28"/>
      <c r="L17" s="28"/>
      <c r="M17" s="28"/>
      <c r="N17" s="28"/>
      <c r="O17" s="28"/>
      <c r="P17" s="28"/>
    </row>
    <row r="18" spans="2:16">
      <c r="B18" s="24" t="s">
        <v>32</v>
      </c>
      <c r="C18" s="25">
        <v>9674.7393600000014</v>
      </c>
      <c r="D18" s="25">
        <v>8223.528456</v>
      </c>
      <c r="E18" s="25">
        <v>944.92569600000002</v>
      </c>
      <c r="F18" s="25">
        <v>803.18684159999998</v>
      </c>
      <c r="G18" s="25">
        <v>12247.339104000002</v>
      </c>
      <c r="I18" s="28"/>
      <c r="J18" s="28"/>
      <c r="K18" s="28"/>
      <c r="L18" s="28"/>
      <c r="M18" s="28"/>
      <c r="N18" s="28"/>
      <c r="O18" s="28"/>
      <c r="P18" s="28"/>
    </row>
    <row r="19" spans="2:16">
      <c r="B19" s="24" t="s">
        <v>33</v>
      </c>
      <c r="C19" s="25">
        <v>868.12000000000012</v>
      </c>
      <c r="D19" s="25">
        <v>937.56960000000004</v>
      </c>
      <c r="E19" s="25">
        <v>1218.8404800000001</v>
      </c>
      <c r="F19" s="25">
        <v>1036.014408</v>
      </c>
      <c r="G19" s="25">
        <v>8088.7023360000003</v>
      </c>
      <c r="I19" s="28"/>
      <c r="J19" s="28"/>
      <c r="K19" s="28"/>
      <c r="L19" s="28"/>
      <c r="M19" s="28"/>
      <c r="N19" s="28"/>
      <c r="O19" s="28"/>
      <c r="P19" s="28"/>
    </row>
    <row r="20" spans="2:16">
      <c r="B20" s="24" t="s">
        <v>34</v>
      </c>
      <c r="C20" s="25">
        <v>973.36800000000005</v>
      </c>
      <c r="D20" s="25">
        <v>1051.2374400000001</v>
      </c>
      <c r="E20" s="25">
        <v>1366.6086720000001</v>
      </c>
      <c r="F20" s="25">
        <v>1161.6173712000002</v>
      </c>
      <c r="G20" s="25">
        <v>2329.696512</v>
      </c>
      <c r="I20" s="28"/>
      <c r="J20" s="28"/>
      <c r="K20" s="28"/>
      <c r="L20" s="28"/>
      <c r="M20" s="28"/>
      <c r="N20" s="28"/>
      <c r="O20" s="28"/>
      <c r="P20" s="28"/>
    </row>
    <row r="21" spans="2:16">
      <c r="B21" s="24" t="s">
        <v>35</v>
      </c>
      <c r="C21" s="25">
        <v>6890.8399999999992</v>
      </c>
      <c r="D21" s="25">
        <v>7442.1072000000013</v>
      </c>
      <c r="E21" s="25">
        <v>9674.7393600000014</v>
      </c>
      <c r="F21" s="25">
        <v>8223.528456</v>
      </c>
      <c r="G21" s="25">
        <v>944.92569600000002</v>
      </c>
      <c r="I21" s="28"/>
      <c r="J21" s="28"/>
      <c r="K21" s="28"/>
      <c r="L21" s="28"/>
      <c r="M21" s="28"/>
      <c r="N21" s="28"/>
      <c r="O21" s="28"/>
      <c r="P21" s="28"/>
    </row>
    <row r="22" spans="2:16">
      <c r="B22" s="24" t="s">
        <v>36</v>
      </c>
      <c r="C22" s="25">
        <v>2049.9130080000004</v>
      </c>
      <c r="D22" s="25">
        <v>1742.4260568000002</v>
      </c>
      <c r="E22" s="25">
        <v>3494.5447679999997</v>
      </c>
      <c r="F22" s="25">
        <v>2970.3630528000003</v>
      </c>
      <c r="G22" s="25">
        <v>11745.75</v>
      </c>
      <c r="I22" s="28"/>
      <c r="J22" s="28"/>
      <c r="K22" s="28"/>
      <c r="L22" s="28"/>
      <c r="M22" s="28"/>
      <c r="N22" s="28"/>
      <c r="O22" s="28"/>
      <c r="P22" s="28"/>
    </row>
    <row r="23" spans="2:16">
      <c r="I23" s="28"/>
      <c r="J23" s="28"/>
      <c r="K23" s="28"/>
      <c r="L23" s="28"/>
      <c r="M23" s="28"/>
      <c r="N23" s="28"/>
      <c r="O23" s="28"/>
      <c r="P23" s="28"/>
    </row>
    <row r="24" spans="2:16">
      <c r="I24" s="28"/>
      <c r="J24" s="28"/>
      <c r="K24" s="28"/>
      <c r="L24" s="28"/>
      <c r="M24" s="28"/>
      <c r="N24" s="28"/>
      <c r="O24" s="28"/>
      <c r="P24" s="28"/>
    </row>
    <row r="25" spans="2:16">
      <c r="I25" s="28"/>
      <c r="J25" s="28"/>
      <c r="K25" s="28"/>
      <c r="L25" s="28"/>
      <c r="M25" s="28"/>
      <c r="N25" s="28"/>
      <c r="O25" s="28"/>
      <c r="P25" s="28"/>
    </row>
    <row r="26" spans="2:16">
      <c r="I26" s="28"/>
      <c r="J26" s="28"/>
      <c r="K26" s="28"/>
      <c r="L26" s="28"/>
      <c r="M26" s="28"/>
      <c r="N26" s="28"/>
      <c r="O26" s="28"/>
      <c r="P26" s="28"/>
    </row>
    <row r="27" spans="2:16">
      <c r="I27" s="28"/>
      <c r="J27" s="28"/>
      <c r="K27" s="28"/>
      <c r="L27" s="28"/>
      <c r="M27" s="28"/>
      <c r="N27" s="28"/>
      <c r="O27" s="28"/>
      <c r="P27" s="28"/>
    </row>
    <row r="28" spans="2:16">
      <c r="I28" s="28"/>
      <c r="J28" s="28"/>
      <c r="K28" s="28"/>
      <c r="L28" s="28"/>
      <c r="M28" s="28"/>
      <c r="N28" s="28"/>
      <c r="O28" s="28"/>
      <c r="P28" s="28"/>
    </row>
    <row r="29" spans="2:16">
      <c r="I29" s="28"/>
      <c r="J29" s="28"/>
      <c r="K29" s="28"/>
      <c r="L29" s="28"/>
      <c r="M29" s="28"/>
      <c r="N29" s="28"/>
      <c r="O29" s="28"/>
      <c r="P29" s="28"/>
    </row>
    <row r="30" spans="2:16">
      <c r="I30" s="28"/>
      <c r="J30" s="28"/>
      <c r="K30" s="28"/>
      <c r="L30" s="28"/>
      <c r="M30" s="28"/>
      <c r="N30" s="28"/>
      <c r="O30" s="28"/>
      <c r="P30" s="28"/>
    </row>
    <row r="31" spans="2:16">
      <c r="I31" s="28"/>
      <c r="J31" s="28"/>
      <c r="K31" s="28"/>
      <c r="L31" s="28"/>
      <c r="M31" s="28"/>
      <c r="N31" s="28"/>
      <c r="O31" s="28"/>
      <c r="P31" s="28"/>
    </row>
    <row r="32" spans="2:16">
      <c r="I32" s="28"/>
      <c r="J32" s="28"/>
      <c r="K32" s="28"/>
      <c r="L32" s="28"/>
      <c r="M32" s="28"/>
      <c r="N32" s="28"/>
      <c r="O32" s="28"/>
      <c r="P32" s="28"/>
    </row>
    <row r="33" spans="9:16">
      <c r="I33" s="28"/>
      <c r="J33" s="28"/>
      <c r="K33" s="28"/>
      <c r="L33" s="28"/>
      <c r="M33" s="28"/>
      <c r="N33" s="28"/>
      <c r="O33" s="28"/>
      <c r="P33" s="28"/>
    </row>
    <row r="34" spans="9:16">
      <c r="I34" s="28"/>
      <c r="J34" s="28"/>
      <c r="K34" s="28"/>
      <c r="L34" s="28"/>
      <c r="M34" s="28"/>
      <c r="N34" s="28"/>
      <c r="O34" s="28"/>
      <c r="P34" s="28"/>
    </row>
    <row r="35" spans="9:16">
      <c r="I35" s="28"/>
      <c r="J35" s="28"/>
      <c r="K35" s="28"/>
      <c r="L35" s="28"/>
      <c r="M35" s="28"/>
      <c r="N35" s="28"/>
      <c r="O35" s="28"/>
      <c r="P35" s="28"/>
    </row>
    <row r="36" spans="9:16">
      <c r="I36" s="28"/>
      <c r="J36" s="28"/>
      <c r="K36" s="28"/>
      <c r="L36" s="28"/>
      <c r="M36" s="28"/>
      <c r="N36" s="28"/>
      <c r="O36" s="28"/>
      <c r="P36" s="28"/>
    </row>
  </sheetData>
  <mergeCells count="2">
    <mergeCell ref="I2:J2"/>
    <mergeCell ref="I6:J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884F-4F00-6D4C-BC1E-9BA62676035D}">
  <dimension ref="B2:P36"/>
  <sheetViews>
    <sheetView tabSelected="1" zoomScale="140" zoomScaleNormal="140" workbookViewId="0">
      <selection activeCell="J10" sqref="J10"/>
    </sheetView>
  </sheetViews>
  <sheetFormatPr defaultColWidth="10.77734375" defaultRowHeight="14.4"/>
  <cols>
    <col min="1" max="1" width="4.77734375" style="21" customWidth="1"/>
    <col min="2" max="2" width="10" style="21" bestFit="1" customWidth="1"/>
    <col min="3" max="7" width="8.6640625" style="21" bestFit="1" customWidth="1"/>
    <col min="8" max="8" width="8.33203125" style="21" customWidth="1"/>
    <col min="9" max="16384" width="10.77734375" style="21"/>
  </cols>
  <sheetData>
    <row r="2" spans="2:16">
      <c r="B2" s="22" t="s">
        <v>13</v>
      </c>
      <c r="C2" s="23" t="s">
        <v>12</v>
      </c>
      <c r="D2" s="23" t="s">
        <v>14</v>
      </c>
      <c r="E2" s="23" t="s">
        <v>15</v>
      </c>
      <c r="F2" s="23" t="s">
        <v>16</v>
      </c>
      <c r="G2" s="23" t="s">
        <v>17</v>
      </c>
      <c r="I2" s="34" t="s">
        <v>38</v>
      </c>
      <c r="J2" s="34"/>
      <c r="K2" s="34"/>
    </row>
    <row r="3" spans="2:16">
      <c r="B3" s="24" t="s">
        <v>18</v>
      </c>
      <c r="C3" s="25">
        <v>9279.9</v>
      </c>
      <c r="D3" s="25">
        <v>10022.292000000001</v>
      </c>
      <c r="E3" s="25">
        <v>13028.979600000002</v>
      </c>
      <c r="F3" s="25">
        <v>11074.632660000001</v>
      </c>
      <c r="G3" s="25">
        <v>10410.1547004</v>
      </c>
      <c r="I3" s="26" t="s">
        <v>13</v>
      </c>
      <c r="J3" s="26" t="s">
        <v>16</v>
      </c>
      <c r="K3" s="26" t="s">
        <v>12</v>
      </c>
    </row>
    <row r="4" spans="2:16">
      <c r="B4" s="24" t="s">
        <v>19</v>
      </c>
      <c r="C4" s="25">
        <v>66656.600000000006</v>
      </c>
      <c r="D4" s="25">
        <v>71989.127999999997</v>
      </c>
      <c r="E4" s="25">
        <v>68389.671600000001</v>
      </c>
      <c r="F4" s="25">
        <v>64970.188020000001</v>
      </c>
      <c r="G4" s="25">
        <v>61721.678618999998</v>
      </c>
      <c r="I4" s="27" t="s">
        <v>28</v>
      </c>
      <c r="J4" s="29" cm="1">
        <f t="array" ref="J4">_xlfn.XLOOKUP(I4,Table357[[#All],[Country]],Table357[[#All],[April]])</f>
        <v>8456.94</v>
      </c>
      <c r="K4" s="29" cm="1">
        <f t="array" ref="K4">_xlfn.XLOOKUP(I4,Table357[[#All],[Country]],Table357[[#All],[January]])</f>
        <v>2329.696512</v>
      </c>
    </row>
    <row r="5" spans="2:16">
      <c r="B5" s="24" t="s">
        <v>20</v>
      </c>
      <c r="C5" s="25">
        <v>9912.7000000000007</v>
      </c>
      <c r="D5" s="25">
        <v>10705.716</v>
      </c>
      <c r="E5" s="25">
        <v>13917.430800000002</v>
      </c>
      <c r="F5" s="25">
        <v>11829.816180000002</v>
      </c>
      <c r="G5" s="25">
        <v>11120.027209200001</v>
      </c>
      <c r="I5" s="27" t="s">
        <v>18</v>
      </c>
      <c r="J5" s="29"/>
    </row>
    <row r="6" spans="2:16">
      <c r="B6" s="24" t="s">
        <v>11</v>
      </c>
      <c r="C6" s="25">
        <v>6546.8</v>
      </c>
      <c r="D6" s="25">
        <v>7070.5439999999999</v>
      </c>
      <c r="E6" s="25">
        <v>9191.7072000000007</v>
      </c>
      <c r="F6" s="25">
        <v>7812.9511199999997</v>
      </c>
      <c r="G6" s="25">
        <v>7344.1740527999991</v>
      </c>
    </row>
    <row r="7" spans="2:16">
      <c r="B7" s="24" t="s">
        <v>21</v>
      </c>
      <c r="C7" s="25">
        <v>1885.6</v>
      </c>
      <c r="D7" s="25">
        <v>2036.4479999999999</v>
      </c>
      <c r="E7" s="25">
        <v>2647.3824</v>
      </c>
      <c r="F7" s="25">
        <v>2250.27504</v>
      </c>
      <c r="G7" s="25">
        <v>2115.2585375999997</v>
      </c>
      <c r="I7" s="34" t="s">
        <v>9</v>
      </c>
      <c r="J7" s="34"/>
      <c r="K7" s="34"/>
    </row>
    <row r="8" spans="2:16">
      <c r="B8" s="24" t="s">
        <v>22</v>
      </c>
      <c r="C8" s="25">
        <v>764.8</v>
      </c>
      <c r="D8" s="25">
        <v>825.98400000000004</v>
      </c>
      <c r="E8" s="25">
        <v>1073.7792000000002</v>
      </c>
      <c r="F8" s="25">
        <v>912.71231999999998</v>
      </c>
      <c r="G8" s="25">
        <v>857.94958079999992</v>
      </c>
      <c r="I8" s="26" t="s">
        <v>13</v>
      </c>
      <c r="J8" s="26" t="s">
        <v>16</v>
      </c>
      <c r="K8" s="26" t="s">
        <v>12</v>
      </c>
    </row>
    <row r="9" spans="2:16">
      <c r="B9" s="24" t="s">
        <v>23</v>
      </c>
      <c r="C9" s="25">
        <v>986.5</v>
      </c>
      <c r="D9" s="25">
        <v>1065.42</v>
      </c>
      <c r="E9" s="25">
        <v>1385.046</v>
      </c>
      <c r="F9" s="25">
        <v>1177.2891</v>
      </c>
      <c r="G9" s="25">
        <v>1106.651754</v>
      </c>
      <c r="I9" s="27" t="s">
        <v>28</v>
      </c>
      <c r="J9" s="29">
        <f>DGET(Table357[#All],J8,$I$8:$I$9)</f>
        <v>8456.94</v>
      </c>
      <c r="K9" s="29">
        <f>DGET(Table357[#All],K8,$I$8:$I$9)</f>
        <v>2329.696512</v>
      </c>
    </row>
    <row r="10" spans="2:16">
      <c r="B10" s="24" t="s">
        <v>24</v>
      </c>
      <c r="C10" s="25">
        <v>1106.0999999999999</v>
      </c>
      <c r="D10" s="25">
        <v>1194.5880000000002</v>
      </c>
      <c r="E10" s="25">
        <v>1552.9644000000003</v>
      </c>
      <c r="F10" s="25">
        <v>1320.0197400000002</v>
      </c>
      <c r="G10" s="25">
        <v>1240.8185556000001</v>
      </c>
      <c r="I10" s="27" t="s">
        <v>18</v>
      </c>
      <c r="J10" s="29"/>
    </row>
    <row r="11" spans="2:16">
      <c r="B11" s="24" t="s">
        <v>25</v>
      </c>
      <c r="C11" s="25">
        <v>7830.5</v>
      </c>
      <c r="D11" s="25">
        <v>8456.94</v>
      </c>
      <c r="E11" s="25">
        <v>10994.022000000001</v>
      </c>
      <c r="F11" s="25">
        <v>9344.9187000000002</v>
      </c>
      <c r="G11" s="25">
        <v>8784.223578000001</v>
      </c>
      <c r="I11" s="28"/>
      <c r="J11" s="28"/>
      <c r="K11" s="28"/>
      <c r="L11" s="28"/>
      <c r="M11" s="28"/>
      <c r="N11" s="28"/>
      <c r="O11" s="28"/>
      <c r="P11" s="28"/>
    </row>
    <row r="12" spans="2:16">
      <c r="B12" s="24" t="s">
        <v>26</v>
      </c>
      <c r="C12" s="25">
        <v>12247.339104000002</v>
      </c>
      <c r="D12" s="25">
        <v>10410.238238400001</v>
      </c>
      <c r="E12" s="25">
        <v>986.5</v>
      </c>
      <c r="F12" s="25">
        <v>1065.42</v>
      </c>
      <c r="G12" s="25">
        <v>1385.046</v>
      </c>
      <c r="I12" s="28"/>
      <c r="J12" s="28"/>
      <c r="K12" s="28"/>
      <c r="L12" s="28"/>
      <c r="M12" s="28"/>
      <c r="N12" s="28"/>
      <c r="O12" s="28"/>
      <c r="P12" s="28"/>
    </row>
    <row r="13" spans="2:16">
      <c r="B13" s="24" t="s">
        <v>27</v>
      </c>
      <c r="C13" s="25">
        <v>8088.7023360000003</v>
      </c>
      <c r="D13" s="25">
        <v>6875.3969855999994</v>
      </c>
      <c r="E13" s="25">
        <v>1106.0999999999999</v>
      </c>
      <c r="F13" s="25">
        <v>1194.5880000000002</v>
      </c>
      <c r="G13" s="25">
        <v>1552.9644000000003</v>
      </c>
      <c r="I13" s="28"/>
      <c r="J13" s="28"/>
      <c r="K13" s="28"/>
      <c r="L13" s="28"/>
      <c r="M13" s="28"/>
      <c r="N13" s="28"/>
      <c r="O13" s="28"/>
      <c r="P13" s="28"/>
    </row>
    <row r="14" spans="2:16">
      <c r="B14" s="24" t="s">
        <v>28</v>
      </c>
      <c r="C14" s="25">
        <v>2329.696512</v>
      </c>
      <c r="D14" s="25">
        <v>1980.2420352000001</v>
      </c>
      <c r="E14" s="25">
        <v>7830.5</v>
      </c>
      <c r="F14" s="25">
        <v>8456.94</v>
      </c>
      <c r="G14" s="25">
        <v>10994.022000000001</v>
      </c>
      <c r="I14" s="28"/>
      <c r="J14" s="28"/>
      <c r="K14" s="28"/>
      <c r="L14" s="28"/>
      <c r="M14" s="28"/>
      <c r="N14" s="28"/>
      <c r="O14" s="28"/>
      <c r="P14" s="28"/>
    </row>
    <row r="15" spans="2:16">
      <c r="B15" s="24" t="s">
        <v>29</v>
      </c>
      <c r="C15" s="25">
        <v>944.92569600000002</v>
      </c>
      <c r="D15" s="25">
        <v>803.18684159999998</v>
      </c>
      <c r="E15" s="25">
        <v>12247.339104000002</v>
      </c>
      <c r="F15" s="25">
        <v>10410.238238400001</v>
      </c>
      <c r="G15" s="25">
        <v>986.5</v>
      </c>
      <c r="I15" s="28"/>
      <c r="J15" s="28"/>
      <c r="K15" s="28"/>
      <c r="L15" s="28"/>
      <c r="M15" s="28"/>
      <c r="N15" s="28"/>
      <c r="O15" s="28"/>
      <c r="P15" s="28"/>
    </row>
    <row r="16" spans="2:16">
      <c r="B16" s="24" t="s">
        <v>30</v>
      </c>
      <c r="C16" s="25">
        <v>1218.8404800000001</v>
      </c>
      <c r="D16" s="25">
        <v>1036.014408</v>
      </c>
      <c r="E16" s="25">
        <v>8088.7023360000003</v>
      </c>
      <c r="F16" s="25">
        <v>6875.3969855999994</v>
      </c>
      <c r="G16" s="25">
        <v>1106.0999999999999</v>
      </c>
      <c r="I16" s="28"/>
      <c r="J16" s="28"/>
      <c r="K16" s="28"/>
      <c r="L16" s="28"/>
      <c r="M16" s="28"/>
      <c r="N16" s="28"/>
      <c r="O16" s="28"/>
      <c r="P16" s="28"/>
    </row>
    <row r="17" spans="2:16">
      <c r="B17" s="24" t="s">
        <v>31</v>
      </c>
      <c r="C17" s="25">
        <v>1366.6086720000001</v>
      </c>
      <c r="D17" s="25">
        <v>1161.6173712000002</v>
      </c>
      <c r="E17" s="25">
        <v>2329.696512</v>
      </c>
      <c r="F17" s="25">
        <v>1980.2420352000001</v>
      </c>
      <c r="G17" s="25">
        <v>7830.5</v>
      </c>
      <c r="I17" s="28"/>
      <c r="J17" s="28"/>
      <c r="K17" s="28"/>
      <c r="L17" s="28"/>
      <c r="M17" s="28"/>
      <c r="N17" s="28"/>
      <c r="O17" s="28"/>
      <c r="P17" s="28"/>
    </row>
    <row r="18" spans="2:16">
      <c r="B18" s="24" t="s">
        <v>32</v>
      </c>
      <c r="C18" s="25">
        <v>9674.7393600000014</v>
      </c>
      <c r="D18" s="25">
        <v>8223.528456</v>
      </c>
      <c r="E18" s="25">
        <v>944.92569600000002</v>
      </c>
      <c r="F18" s="25">
        <v>803.18684159999998</v>
      </c>
      <c r="G18" s="25">
        <v>12247.339104000002</v>
      </c>
      <c r="I18" s="28"/>
      <c r="J18" s="28"/>
      <c r="K18" s="28"/>
      <c r="L18" s="28"/>
      <c r="M18" s="28"/>
      <c r="N18" s="28"/>
      <c r="O18" s="28"/>
      <c r="P18" s="28"/>
    </row>
    <row r="19" spans="2:16">
      <c r="B19" s="24" t="s">
        <v>33</v>
      </c>
      <c r="C19" s="25">
        <v>868.12000000000012</v>
      </c>
      <c r="D19" s="25">
        <v>937.56960000000004</v>
      </c>
      <c r="E19" s="25">
        <v>1218.8404800000001</v>
      </c>
      <c r="F19" s="25">
        <v>1036.014408</v>
      </c>
      <c r="G19" s="25">
        <v>8088.7023360000003</v>
      </c>
      <c r="I19" s="28"/>
      <c r="J19" s="28"/>
      <c r="K19" s="28"/>
      <c r="L19" s="28"/>
      <c r="M19" s="28"/>
      <c r="N19" s="28"/>
      <c r="O19" s="28"/>
      <c r="P19" s="28"/>
    </row>
    <row r="20" spans="2:16">
      <c r="B20" s="24" t="s">
        <v>34</v>
      </c>
      <c r="C20" s="25">
        <v>973.36800000000005</v>
      </c>
      <c r="D20" s="25">
        <v>1051.2374400000001</v>
      </c>
      <c r="E20" s="25">
        <v>1366.6086720000001</v>
      </c>
      <c r="F20" s="25">
        <v>1161.6173712000002</v>
      </c>
      <c r="G20" s="25">
        <v>2329.696512</v>
      </c>
      <c r="I20" s="28"/>
      <c r="J20" s="28"/>
      <c r="K20" s="28"/>
      <c r="L20" s="28"/>
      <c r="M20" s="28"/>
      <c r="N20" s="28"/>
      <c r="O20" s="28"/>
      <c r="P20" s="28"/>
    </row>
    <row r="21" spans="2:16">
      <c r="B21" s="24" t="s">
        <v>35</v>
      </c>
      <c r="C21" s="25">
        <v>6890.8399999999992</v>
      </c>
      <c r="D21" s="25">
        <v>7442.1072000000013</v>
      </c>
      <c r="E21" s="25">
        <v>9674.7393600000014</v>
      </c>
      <c r="F21" s="25">
        <v>8223.528456</v>
      </c>
      <c r="G21" s="25">
        <v>944.92569600000002</v>
      </c>
      <c r="I21" s="28"/>
      <c r="J21" s="28"/>
      <c r="K21" s="28"/>
      <c r="L21" s="28"/>
      <c r="M21" s="28"/>
      <c r="N21" s="28"/>
      <c r="O21" s="28"/>
      <c r="P21" s="28"/>
    </row>
    <row r="22" spans="2:16">
      <c r="B22" s="24" t="s">
        <v>36</v>
      </c>
      <c r="C22" s="25">
        <v>2049.9130080000004</v>
      </c>
      <c r="D22" s="25">
        <v>1742.4260568000002</v>
      </c>
      <c r="E22" s="25">
        <v>3494.5447679999997</v>
      </c>
      <c r="F22" s="25">
        <v>2970.3630528000003</v>
      </c>
      <c r="G22" s="25">
        <v>11745.75</v>
      </c>
      <c r="I22" s="28"/>
      <c r="J22" s="28"/>
      <c r="K22" s="28"/>
      <c r="L22" s="28"/>
      <c r="M22" s="28"/>
      <c r="N22" s="28"/>
      <c r="O22" s="28"/>
      <c r="P22" s="28"/>
    </row>
    <row r="23" spans="2:16">
      <c r="I23" s="28"/>
      <c r="J23" s="28"/>
      <c r="K23" s="28"/>
      <c r="L23" s="28"/>
      <c r="M23" s="28"/>
      <c r="N23" s="28"/>
      <c r="O23" s="28"/>
      <c r="P23" s="28"/>
    </row>
    <row r="24" spans="2:16">
      <c r="I24" s="28"/>
      <c r="J24" s="28"/>
      <c r="K24" s="28"/>
      <c r="L24" s="28"/>
      <c r="M24" s="28"/>
      <c r="N24" s="28"/>
      <c r="O24" s="28"/>
      <c r="P24" s="28"/>
    </row>
    <row r="25" spans="2:16">
      <c r="I25" s="28"/>
      <c r="J25" s="28"/>
      <c r="K25" s="28"/>
      <c r="L25" s="28"/>
      <c r="M25" s="28"/>
      <c r="N25" s="28"/>
      <c r="O25" s="28"/>
      <c r="P25" s="28"/>
    </row>
    <row r="26" spans="2:16">
      <c r="I26" s="28"/>
      <c r="J26" s="28"/>
      <c r="K26" s="28"/>
      <c r="L26" s="28"/>
      <c r="M26" s="28"/>
      <c r="N26" s="28"/>
      <c r="O26" s="28"/>
      <c r="P26" s="28"/>
    </row>
    <row r="27" spans="2:16">
      <c r="I27" s="28"/>
      <c r="J27" s="28"/>
      <c r="K27" s="28"/>
      <c r="L27" s="28"/>
      <c r="M27" s="28"/>
      <c r="N27" s="28"/>
      <c r="O27" s="28"/>
      <c r="P27" s="28"/>
    </row>
    <row r="28" spans="2:16">
      <c r="I28" s="28"/>
      <c r="J28" s="28"/>
      <c r="K28" s="28"/>
      <c r="L28" s="28"/>
      <c r="M28" s="28"/>
      <c r="N28" s="28"/>
      <c r="O28" s="28"/>
      <c r="P28" s="28"/>
    </row>
    <row r="29" spans="2:16">
      <c r="I29" s="28"/>
      <c r="J29" s="28"/>
      <c r="K29" s="28"/>
      <c r="L29" s="28"/>
      <c r="M29" s="28"/>
      <c r="N29" s="28"/>
      <c r="O29" s="28"/>
      <c r="P29" s="28"/>
    </row>
    <row r="30" spans="2:16">
      <c r="I30" s="28"/>
      <c r="J30" s="28"/>
      <c r="K30" s="28"/>
      <c r="L30" s="28"/>
      <c r="M30" s="28"/>
      <c r="N30" s="28"/>
      <c r="O30" s="28"/>
      <c r="P30" s="28"/>
    </row>
    <row r="31" spans="2:16">
      <c r="I31" s="28"/>
      <c r="J31" s="28"/>
      <c r="K31" s="28"/>
      <c r="L31" s="28"/>
      <c r="M31" s="28"/>
      <c r="N31" s="28"/>
      <c r="O31" s="28"/>
      <c r="P31" s="28"/>
    </row>
    <row r="32" spans="2:16">
      <c r="I32" s="28"/>
      <c r="J32" s="28"/>
      <c r="K32" s="28"/>
      <c r="L32" s="28"/>
      <c r="M32" s="28"/>
      <c r="N32" s="28"/>
      <c r="O32" s="28"/>
      <c r="P32" s="28"/>
    </row>
    <row r="33" spans="9:16">
      <c r="I33" s="28"/>
      <c r="J33" s="28"/>
      <c r="K33" s="28"/>
      <c r="L33" s="28"/>
      <c r="M33" s="28"/>
      <c r="N33" s="28"/>
      <c r="O33" s="28"/>
      <c r="P33" s="28"/>
    </row>
    <row r="34" spans="9:16">
      <c r="I34" s="28"/>
      <c r="J34" s="28"/>
      <c r="K34" s="28"/>
      <c r="L34" s="28"/>
      <c r="M34" s="28"/>
      <c r="N34" s="28"/>
      <c r="O34" s="28"/>
      <c r="P34" s="28"/>
    </row>
    <row r="35" spans="9:16">
      <c r="I35" s="28"/>
      <c r="J35" s="28"/>
      <c r="K35" s="28"/>
      <c r="L35" s="28"/>
      <c r="M35" s="28"/>
      <c r="N35" s="28"/>
      <c r="O35" s="28"/>
      <c r="P35" s="28"/>
    </row>
    <row r="36" spans="9:16">
      <c r="I36" s="28"/>
      <c r="J36" s="28"/>
      <c r="K36" s="28"/>
      <c r="L36" s="28"/>
      <c r="M36" s="28"/>
      <c r="N36" s="28"/>
      <c r="O36" s="28"/>
      <c r="P36" s="28"/>
    </row>
  </sheetData>
  <mergeCells count="2">
    <mergeCell ref="I2:K2"/>
    <mergeCell ref="I7:K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DGET vs VLOOKUP</vt:lpstr>
      <vt:lpstr>DGET vs INDEX MATCH</vt:lpstr>
      <vt:lpstr>DGET vs XLOOKUP</vt:lpstr>
      <vt:lpstr>Wildcard and OR Condition</vt:lpstr>
      <vt:lpstr>Limit 2</vt:lpstr>
      <vt:lpstr>Limit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User</cp:lastModifiedBy>
  <dcterms:created xsi:type="dcterms:W3CDTF">2024-09-23T07:29:26Z</dcterms:created>
  <dcterms:modified xsi:type="dcterms:W3CDTF">2026-08-28T19:11:18Z</dcterms:modified>
</cp:coreProperties>
</file>