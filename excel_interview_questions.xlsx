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pivotTables/pivotTable1.xml" ContentType="application/vnd.openxmlformats-officedocument.spreadsheetml.pivotTable+xml"/>
  <Override PartName="/xl/drawings/drawing12.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2.xml" ContentType="application/vnd.openxmlformats-officedocument.spreadsheetml.pivotTable+xml"/>
  <Override PartName="/xl/drawings/drawing13.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tables/table3.xml" ContentType="application/vnd.openxmlformats-officedocument.spreadsheetml.table+xml"/>
  <Override PartName="/xl/drawings/drawing17.xml" ContentType="application/vnd.openxmlformats-officedocument.drawing+xml"/>
  <Override PartName="/xl/tables/table4.xml" ContentType="application/vnd.openxmlformats-officedocument.spreadsheetml.table+xml"/>
  <Override PartName="/xl/drawings/drawing1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3151B124-598B-434E-A576-DA433DE72B96}" xr6:coauthVersionLast="47" xr6:coauthVersionMax="47" xr10:uidLastSave="{00000000-0000-0000-0000-000000000000}"/>
  <bookViews>
    <workbookView xWindow="-108" yWindow="-108" windowWidth="23256" windowHeight="12456" firstSheet="2" activeTab="2" xr2:uid="{FBEE0547-C1DD-4B7A-A3EB-2BA1446463BC}"/>
  </bookViews>
  <sheets>
    <sheet name="Copyright" sheetId="5" r:id="rId1"/>
    <sheet name="Q1" sheetId="2" r:id="rId2"/>
    <sheet name="A1" sheetId="19" r:id="rId3"/>
    <sheet name="Q2" sheetId="10" r:id="rId4"/>
    <sheet name="A2" sheetId="20" r:id="rId5"/>
    <sheet name="Q3" sheetId="11" r:id="rId6"/>
    <sheet name="A3" sheetId="21" r:id="rId7"/>
    <sheet name="Q4" sheetId="12" r:id="rId8"/>
    <sheet name="A4" sheetId="22" r:id="rId9"/>
    <sheet name="Q5" sheetId="18" r:id="rId10"/>
    <sheet name="A5" sheetId="23" r:id="rId11"/>
    <sheet name="Q6" sheetId="13" r:id="rId12"/>
    <sheet name="A6" sheetId="24" r:id="rId13"/>
    <sheet name="Q7" sheetId="14" r:id="rId14"/>
    <sheet name="A7" sheetId="25" r:id="rId15"/>
    <sheet name="Q8" sheetId="16" r:id="rId16"/>
    <sheet name="A8" sheetId="26" r:id="rId17"/>
    <sheet name="More Resources" sheetId="1" r:id="rId18"/>
  </sheets>
  <definedNames>
    <definedName name="Slicer_Year">#N/A</definedName>
    <definedName name="Slicer_Year1">#N/A</definedName>
  </definedNames>
  <calcPr calcId="191028"/>
  <pivotCaches>
    <pivotCache cacheId="0" r:id="rId19"/>
    <pivotCache cacheId="12" r:id="rId20"/>
  </pivotCaches>
  <extLs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 i="16" l="1"/>
  <c r="F8" i="16"/>
  <c r="F9" i="16"/>
  <c r="F10" i="16"/>
  <c r="F11" i="16"/>
  <c r="F12" i="16"/>
  <c r="F13" i="16"/>
  <c r="F14" i="16"/>
  <c r="F15" i="16"/>
  <c r="F16" i="16"/>
  <c r="F17" i="16"/>
  <c r="F18" i="16"/>
  <c r="F19" i="16"/>
  <c r="F20" i="16"/>
  <c r="F21" i="16"/>
  <c r="F22" i="16"/>
  <c r="F23" i="16"/>
  <c r="F24" i="16"/>
  <c r="F25" i="16"/>
  <c r="F26" i="16"/>
  <c r="E10" i="14"/>
  <c r="E13" i="14"/>
  <c r="E15" i="14"/>
  <c r="E16" i="14"/>
  <c r="G11" i="18"/>
  <c r="G12" i="18"/>
  <c r="G13" i="18"/>
  <c r="G14" i="18"/>
  <c r="H10" i="23" a="1"/>
  <c r="G10" i="18"/>
  <c r="H11" i="12"/>
  <c r="H12" i="12"/>
  <c r="H13" i="12"/>
  <c r="H14" i="12"/>
  <c r="H15" i="12"/>
  <c r="H16" i="12"/>
  <c r="H17" i="12"/>
  <c r="H18" i="12"/>
  <c r="H19" i="12"/>
  <c r="H10" i="12"/>
  <c r="G10" i="12" a="1"/>
  <c r="F11" i="12"/>
  <c r="F12" i="12"/>
  <c r="F13" i="12"/>
  <c r="F14" i="12"/>
  <c r="F15" i="12"/>
  <c r="F16" i="12"/>
  <c r="F17" i="12"/>
  <c r="F18" i="12"/>
  <c r="F19" i="12"/>
  <c r="F10" i="12"/>
  <c r="H13" i="11"/>
  <c r="H14" i="11"/>
  <c r="H15" i="11"/>
  <c r="H16" i="11"/>
  <c r="H17" i="11"/>
  <c r="H18" i="11"/>
  <c r="H19" i="11"/>
  <c r="H20" i="11"/>
  <c r="H21" i="11"/>
  <c r="H12" i="11"/>
  <c r="G13" i="11"/>
  <c r="G14" i="11"/>
  <c r="G15" i="11"/>
  <c r="G16" i="11"/>
  <c r="G17" i="11"/>
  <c r="G18" i="11"/>
  <c r="G19" i="11"/>
  <c r="G20" i="11"/>
  <c r="G21" i="11"/>
  <c r="G12" i="11"/>
  <c r="G19" i="10"/>
  <c r="G15" i="10"/>
  <c r="G11" i="10"/>
  <c r="G7" i="10"/>
  <c r="E8" i="2"/>
  <c r="E9" i="2"/>
  <c r="E10" i="2"/>
  <c r="E11" i="2"/>
  <c r="E7" i="2"/>
  <c r="E16" i="25"/>
  <c r="E15" i="25"/>
  <c r="E13" i="25"/>
  <c r="E10" i="25"/>
  <c r="E8" i="19"/>
  <c r="E9" i="19"/>
  <c r="E10" i="19"/>
  <c r="E11" i="19"/>
  <c r="E7" i="19"/>
  <c r="G26" i="26"/>
  <c r="F26" i="26"/>
  <c r="G25" i="26"/>
  <c r="F25" i="26"/>
  <c r="G24" i="26"/>
  <c r="F24" i="26"/>
  <c r="G23" i="26"/>
  <c r="F23" i="26"/>
  <c r="G22" i="26"/>
  <c r="F22" i="26"/>
  <c r="G21" i="26"/>
  <c r="F21" i="26"/>
  <c r="G20" i="26"/>
  <c r="F20" i="26"/>
  <c r="G19" i="26"/>
  <c r="F19" i="26"/>
  <c r="G18" i="26"/>
  <c r="F18" i="26"/>
  <c r="G17" i="26"/>
  <c r="F17" i="26"/>
  <c r="G16" i="26"/>
  <c r="F16" i="26"/>
  <c r="G15" i="26"/>
  <c r="F15" i="26"/>
  <c r="G14" i="26"/>
  <c r="F14" i="26"/>
  <c r="G13" i="26"/>
  <c r="F13" i="26"/>
  <c r="G12" i="26"/>
  <c r="F12" i="26"/>
  <c r="G11" i="26"/>
  <c r="F11" i="26"/>
  <c r="G10" i="26"/>
  <c r="F10" i="26"/>
  <c r="G9" i="26"/>
  <c r="F9" i="26"/>
  <c r="G8" i="26"/>
  <c r="F8" i="26"/>
  <c r="G7" i="26"/>
  <c r="F7" i="26"/>
  <c r="B5" i="25"/>
  <c r="H14" i="23" a="1"/>
  <c r="G14" i="23"/>
  <c r="H13" i="23" a="1"/>
  <c r="G13" i="23"/>
  <c r="H12" i="23" a="1"/>
  <c r="G12" i="23"/>
  <c r="H11" i="23" a="1"/>
  <c r="G11" i="23"/>
  <c r="G10" i="23"/>
  <c r="B7" i="23"/>
  <c r="B4" i="23"/>
  <c r="H19" i="22"/>
  <c r="F19" i="22"/>
  <c r="H18" i="22"/>
  <c r="F18" i="22"/>
  <c r="H17" i="22"/>
  <c r="F17" i="22"/>
  <c r="H16" i="22"/>
  <c r="F16" i="22"/>
  <c r="H15" i="22"/>
  <c r="F15" i="22"/>
  <c r="H14" i="22"/>
  <c r="F14" i="22"/>
  <c r="H13" i="22"/>
  <c r="F13" i="22"/>
  <c r="H12" i="22"/>
  <c r="F12" i="22"/>
  <c r="H11" i="22"/>
  <c r="F11" i="22"/>
  <c r="H10" i="22"/>
  <c r="G10" i="22" a="1"/>
  <c r="F10" i="22"/>
  <c r="B7" i="22"/>
  <c r="B4" i="22"/>
  <c r="H21" i="21"/>
  <c r="G21" i="21"/>
  <c r="H20" i="21"/>
  <c r="G20" i="21"/>
  <c r="H19" i="21"/>
  <c r="G19" i="21"/>
  <c r="H18" i="21"/>
  <c r="G18" i="21"/>
  <c r="H17" i="21"/>
  <c r="G17" i="21"/>
  <c r="H16" i="21"/>
  <c r="G16" i="21"/>
  <c r="H15" i="21"/>
  <c r="G15" i="21"/>
  <c r="H14" i="21"/>
  <c r="G14" i="21"/>
  <c r="H13" i="21"/>
  <c r="G13" i="21"/>
  <c r="H12" i="21"/>
  <c r="G12" i="21"/>
  <c r="B7" i="21"/>
  <c r="B4" i="21"/>
  <c r="H19" i="20"/>
  <c r="G19" i="20"/>
  <c r="H15" i="20"/>
  <c r="G15" i="20"/>
  <c r="H11" i="20"/>
  <c r="G11" i="20"/>
  <c r="H7" i="20"/>
  <c r="G7" i="20"/>
  <c r="B4" i="19"/>
  <c r="H11" i="10"/>
  <c r="H7" i="10"/>
  <c r="B5" i="14"/>
  <c r="B7" i="18"/>
  <c r="B4" i="18"/>
  <c r="H19" i="10"/>
  <c r="H15" i="10"/>
  <c r="B7" i="11"/>
  <c r="B4" i="11"/>
  <c r="B7" i="12"/>
  <c r="B4" i="1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<sst xmlns="http://schemas.openxmlformats.org/spreadsheetml/2006/main" count="785" uniqueCount="260">
  <si>
    <t>Copyright Notice</t>
  </si>
  <si>
    <t xml:space="preserve"> </t>
  </si>
  <si>
    <t>The content in this file was created by Mynda Treacy from My Online Training Hub.</t>
  </si>
  <si>
    <t>Individual users are permitted to recreate the examples for personal practice only.</t>
  </si>
  <si>
    <r>
      <t xml:space="preserve">Recreating the examples for training or demonstration to others is </t>
    </r>
    <r>
      <rPr>
        <b/>
        <sz val="14"/>
        <rFont val="Calibri"/>
        <family val="2"/>
        <scheme val="minor"/>
      </rPr>
      <t>not permitted</t>
    </r>
    <r>
      <rPr>
        <sz val="14"/>
        <rFont val="Calibri"/>
        <family val="2"/>
        <scheme val="minor"/>
      </rPr>
      <t>, unless written consent is granted by Mynda Treacy.</t>
    </r>
  </si>
  <si>
    <t>The workbook and any sheets within must be accompanied by the following copyright notice: My Online Training Hub ©.</t>
  </si>
  <si>
    <t>This sheet must remain in any file that uses this data and or these techniques.</t>
  </si>
  <si>
    <t>Any uses of this workbook and/or data must include the above attribution.</t>
  </si>
  <si>
    <t>Social Channels</t>
  </si>
  <si>
    <t>More Resources</t>
  </si>
  <si>
    <t>Tutorials</t>
  </si>
  <si>
    <t>Excel Functions</t>
  </si>
  <si>
    <t>https://www.myonlinetraininghub.com/excel-functions</t>
  </si>
  <si>
    <t>Charting Blog Posts</t>
  </si>
  <si>
    <t>https://www.myonlinetraininghub.com/category/excel-charts</t>
  </si>
  <si>
    <t>Excel Dashboard Blog Posts</t>
  </si>
  <si>
    <t>https://www.myonlinetraininghub.com/category/excel-dashboard</t>
  </si>
  <si>
    <t>Webinar Replays</t>
  </si>
  <si>
    <t>Excel Dashboards &amp; Power BI</t>
  </si>
  <si>
    <t>https://www.myonlinetraininghub.com/excel-webinars</t>
  </si>
  <si>
    <t>Courses</t>
  </si>
  <si>
    <t>Advanced Excel</t>
  </si>
  <si>
    <t>https://www.myonlinetraininghub.com/excel-expert-upgrade</t>
  </si>
  <si>
    <t>Advanced Excel Formulas</t>
  </si>
  <si>
    <t>https://www.myonlinetraininghub.com/advanced-excel-formulas-course</t>
  </si>
  <si>
    <t>Power Query</t>
  </si>
  <si>
    <t>https://www.myonlinetraininghub.com/excel-power-query-course</t>
  </si>
  <si>
    <t>PivotTable Quick Start</t>
  </si>
  <si>
    <t>https://www.myonlinetraininghub.com/excel-pivottable-course-quick-start</t>
  </si>
  <si>
    <t>Xtreme PivotTables</t>
  </si>
  <si>
    <t>https://www.myonlinetraininghub.com/excel-pivottable-course</t>
  </si>
  <si>
    <t>Power Pivot</t>
  </si>
  <si>
    <t>https://www.myonlinetraininghub.com/power-pivot-course</t>
  </si>
  <si>
    <t>Excel Dashboards</t>
  </si>
  <si>
    <t>https://www.myonlinetraininghub.com/excel-dashboard-course</t>
  </si>
  <si>
    <t>Power BI</t>
  </si>
  <si>
    <t>https://www.myonlinetraininghub.com/power-bi-course</t>
  </si>
  <si>
    <t>Excel for Decision Making Under Uncertainty</t>
  </si>
  <si>
    <t>https://www.myonlinetraininghub.com/excel-for-decision-making-course</t>
  </si>
  <si>
    <t>Excel for Finance Professionals</t>
  </si>
  <si>
    <t>https://www.myonlinetraininghub.com/excel-for-finance-course</t>
  </si>
  <si>
    <t>Excel Analysis ToolPak</t>
  </si>
  <si>
    <t>https://www.myonlinetraininghub.com/excel-analysis-toolpak-course</t>
  </si>
  <si>
    <t>Excel for Customer Service Professionals</t>
  </si>
  <si>
    <t>https://www.myonlinetraininghub.com/excel-for-customer-service-professionals</t>
  </si>
  <si>
    <t>Excel for Operations Management</t>
  </si>
  <si>
    <t>https://www.myonlinetraininghub.com/excel-operations-management-course</t>
  </si>
  <si>
    <t>Financial Modelling</t>
  </si>
  <si>
    <t>https://www.myonlinetraininghub.com/financial-modelling-course</t>
  </si>
  <si>
    <t>Support</t>
  </si>
  <si>
    <t>Excel Forum</t>
  </si>
  <si>
    <t>https://www.myonlinetraininghub.com/excel-forum</t>
  </si>
  <si>
    <t>Product</t>
  </si>
  <si>
    <t>Sales</t>
  </si>
  <si>
    <t>Year</t>
  </si>
  <si>
    <t>Category</t>
  </si>
  <si>
    <t>Components</t>
  </si>
  <si>
    <t>Chains</t>
  </si>
  <si>
    <t>Clothing</t>
  </si>
  <si>
    <t>Socks</t>
  </si>
  <si>
    <t>Bib-Shorts</t>
  </si>
  <si>
    <t>Shorts</t>
  </si>
  <si>
    <t>Tights</t>
  </si>
  <si>
    <t>Handlebars</t>
  </si>
  <si>
    <t>Brakes</t>
  </si>
  <si>
    <t>Bikes</t>
  </si>
  <si>
    <t>Mountain Bikes</t>
  </si>
  <si>
    <t>Accessories</t>
  </si>
  <si>
    <t>Helmets</t>
  </si>
  <si>
    <t>Lights</t>
  </si>
  <si>
    <t>Locks</t>
  </si>
  <si>
    <t>Bottom Brackets</t>
  </si>
  <si>
    <t>Jerseys</t>
  </si>
  <si>
    <t>Road Bikes</t>
  </si>
  <si>
    <t>Tires and Tubes</t>
  </si>
  <si>
    <t>Cargo Bike</t>
  </si>
  <si>
    <t>Bike Racks</t>
  </si>
  <si>
    <t>Caps</t>
  </si>
  <si>
    <t>Pumps</t>
  </si>
  <si>
    <t>Wheels</t>
  </si>
  <si>
    <t>Touring Bikes</t>
  </si>
  <si>
    <t>Vests</t>
  </si>
  <si>
    <t>Pedals</t>
  </si>
  <si>
    <t>Gloves</t>
  </si>
  <si>
    <t>Saddles</t>
  </si>
  <si>
    <t>Manager</t>
  </si>
  <si>
    <t>Follow Us for more Tips &amp; Tutorials</t>
  </si>
  <si>
    <t>Microsoft Word Masterclass</t>
  </si>
  <si>
    <t>https://www.myonlinetraininghub.com/microsoft-word-course</t>
  </si>
  <si>
    <t>Calculating Percentages</t>
  </si>
  <si>
    <t>Item</t>
  </si>
  <si>
    <t>Cost Price</t>
  </si>
  <si>
    <t>Selling Price</t>
  </si>
  <si>
    <t>Product A</t>
  </si>
  <si>
    <t>Product B</t>
  </si>
  <si>
    <t>Product C</t>
  </si>
  <si>
    <t>Product D</t>
  </si>
  <si>
    <t>Product E</t>
  </si>
  <si>
    <t>Name</t>
  </si>
  <si>
    <t>Age</t>
  </si>
  <si>
    <t>Email</t>
  </si>
  <si>
    <t>John Doe</t>
  </si>
  <si>
    <t>john.doe@example.com</t>
  </si>
  <si>
    <t>Jane Smith</t>
  </si>
  <si>
    <t>jane.smith@example.com</t>
  </si>
  <si>
    <t>Alice Johnson</t>
  </si>
  <si>
    <t>Mark Brown</t>
  </si>
  <si>
    <t>mark.brown@example.com</t>
  </si>
  <si>
    <t>Emma Wilson</t>
  </si>
  <si>
    <t>emma.wilson@example.com</t>
  </si>
  <si>
    <t>Chris Lee</t>
  </si>
  <si>
    <t>olivia.green@example.com</t>
  </si>
  <si>
    <t>Olivia Green</t>
  </si>
  <si>
    <t>A2.1</t>
  </si>
  <si>
    <t>Employee Name</t>
  </si>
  <si>
    <t>A2.2</t>
  </si>
  <si>
    <t>A2.3</t>
  </si>
  <si>
    <t>Logic Functions</t>
  </si>
  <si>
    <t>Lookup Functions</t>
  </si>
  <si>
    <t>PivotTables</t>
  </si>
  <si>
    <t>Text Functions</t>
  </si>
  <si>
    <t>Data Cleaning</t>
  </si>
  <si>
    <t>A2.4</t>
  </si>
  <si>
    <r>
      <rPr>
        <b/>
        <sz val="11"/>
        <color theme="1"/>
        <rFont val="Segoe UI"/>
        <family val="2"/>
      </rPr>
      <t>Q2.3</t>
    </r>
    <r>
      <rPr>
        <sz val="11"/>
        <color theme="1"/>
        <rFont val="Segoe UI"/>
        <family val="2"/>
      </rPr>
      <t xml:space="preserve"> - How many email addresses are missing?</t>
    </r>
  </si>
  <si>
    <r>
      <rPr>
        <b/>
        <sz val="11"/>
        <color theme="1"/>
        <rFont val="Segoe UI"/>
        <family val="2"/>
      </rPr>
      <t>Q2.4</t>
    </r>
    <r>
      <rPr>
        <sz val="11"/>
        <color theme="1"/>
        <rFont val="Segoe UI"/>
        <family val="2"/>
      </rPr>
      <t xml:space="preserve"> - How many employees are aged over 30?</t>
    </r>
  </si>
  <si>
    <t>Employee ID</t>
  </si>
  <si>
    <t>Department</t>
  </si>
  <si>
    <t>Monthly Sales</t>
  </si>
  <si>
    <t>Performance Score</t>
  </si>
  <si>
    <t>Liam Davis</t>
  </si>
  <si>
    <t>Sophia Brown</t>
  </si>
  <si>
    <t>Ethan Black</t>
  </si>
  <si>
    <t>Q3.1 Target Met</t>
  </si>
  <si>
    <r>
      <rPr>
        <b/>
        <sz val="11"/>
        <color theme="1"/>
        <rFont val="Segoe UI"/>
        <family val="2"/>
      </rPr>
      <t xml:space="preserve">Q3.1 </t>
    </r>
    <r>
      <rPr>
        <sz val="11"/>
        <color theme="1"/>
        <rFont val="Segoe UI"/>
        <family val="2"/>
      </rPr>
      <t>- Write a formula to determine if the "Monthly Sales" for each employee has reached a sales target of 5000 or more. If they have, return "Met"; otherwise, return "Not Met."</t>
    </r>
  </si>
  <si>
    <t>Q3.2 Bonus</t>
  </si>
  <si>
    <t>Department ID</t>
  </si>
  <si>
    <t>Salary</t>
  </si>
  <si>
    <t>Department Name</t>
  </si>
  <si>
    <t>Tom Evans</t>
  </si>
  <si>
    <t>Linda White</t>
  </si>
  <si>
    <t>Sam Brown</t>
  </si>
  <si>
    <t>Nancy Lee</t>
  </si>
  <si>
    <t>Product ID</t>
  </si>
  <si>
    <t>Product Name</t>
  </si>
  <si>
    <t>Specifications</t>
  </si>
  <si>
    <t>Supplier</t>
  </si>
  <si>
    <t>Price</t>
  </si>
  <si>
    <t>Laptop</t>
  </si>
  <si>
    <t>Intel i5;8GB RAM;256GB SSD</t>
  </si>
  <si>
    <t>TechStore Inc.</t>
  </si>
  <si>
    <t>Smartphone</t>
  </si>
  <si>
    <t>Snapdragon 888;6GB RAM;128GB Storage</t>
  </si>
  <si>
    <t>MobileHub Ltd.</t>
  </si>
  <si>
    <t>Tablet</t>
  </si>
  <si>
    <t>Apple A14;4GB RAM;64GB Storage</t>
  </si>
  <si>
    <t>GadgetWorld</t>
  </si>
  <si>
    <t>Headphones</t>
  </si>
  <si>
    <t>AudioPro</t>
  </si>
  <si>
    <t>Smartwatch</t>
  </si>
  <si>
    <t>WearableTech</t>
  </si>
  <si>
    <r>
      <rPr>
        <b/>
        <sz val="11"/>
        <color theme="1"/>
        <rFont val="Segoe UI"/>
        <family val="2"/>
      </rPr>
      <t>Q5.1</t>
    </r>
    <r>
      <rPr>
        <sz val="11"/>
        <color theme="1"/>
        <rFont val="Segoe UI"/>
        <family val="2"/>
      </rPr>
      <t xml:space="preserve"> - In column G write a formula to combine the product name and price formatted with $, comma separators and 2 decimal places. e.g. Laptop - $1,200.00</t>
    </r>
  </si>
  <si>
    <r>
      <rPr>
        <b/>
        <sz val="11"/>
        <color theme="1"/>
        <rFont val="Segoe UI"/>
        <family val="2"/>
      </rPr>
      <t xml:space="preserve">Q5.2 </t>
    </r>
    <r>
      <rPr>
        <sz val="11"/>
        <color theme="1"/>
        <rFont val="Segoe UI"/>
        <family val="2"/>
      </rPr>
      <t>- In column H, write a formula to split the specifications out into their separate components as delimited by the semi-colon.</t>
    </r>
  </si>
  <si>
    <t>Q4.1 Manager</t>
  </si>
  <si>
    <t>Q4.2 Department Name</t>
  </si>
  <si>
    <t>Target:</t>
  </si>
  <si>
    <t>Bonus Target:</t>
  </si>
  <si>
    <r>
      <rPr>
        <b/>
        <sz val="11"/>
        <color theme="1"/>
        <rFont val="Segoe UI"/>
        <family val="2"/>
      </rPr>
      <t xml:space="preserve">Q4.1 </t>
    </r>
    <r>
      <rPr>
        <sz val="11"/>
        <color theme="1"/>
        <rFont val="Segoe UI"/>
        <family val="2"/>
      </rPr>
      <t>- In column F, lookup the department ID in column K and return the Manager Name.</t>
    </r>
  </si>
  <si>
    <r>
      <rPr>
        <b/>
        <sz val="11"/>
        <color theme="1"/>
        <rFont val="Segoe UI"/>
        <family val="2"/>
      </rPr>
      <t xml:space="preserve">Q4.2 </t>
    </r>
    <r>
      <rPr>
        <sz val="11"/>
        <color theme="1"/>
        <rFont val="Segoe UI"/>
        <family val="2"/>
      </rPr>
      <t xml:space="preserve">- In column G, lookup the department ID in column K and return the Department Name. </t>
    </r>
    <r>
      <rPr>
        <b/>
        <sz val="11"/>
        <color theme="1"/>
        <rFont val="Segoe UI"/>
        <family val="2"/>
      </rPr>
      <t>Bonus points:</t>
    </r>
    <r>
      <rPr>
        <sz val="11"/>
        <color theme="1"/>
        <rFont val="Segoe UI"/>
        <family val="2"/>
      </rPr>
      <t xml:space="preserve"> return the results as a spilled array.</t>
    </r>
  </si>
  <si>
    <t>Q4.2 INDEX &amp; MATCH Alternative</t>
  </si>
  <si>
    <r>
      <rPr>
        <b/>
        <sz val="11"/>
        <color theme="1"/>
        <rFont val="Segoe UI"/>
        <family val="2"/>
      </rPr>
      <t>Q3.2</t>
    </r>
    <r>
      <rPr>
        <sz val="11"/>
        <color theme="1"/>
        <rFont val="Segoe UI"/>
        <family val="2"/>
      </rPr>
      <t xml:space="preserve"> - Write a formula that checks if the "Monthly Sales" are greater than 8000 and the "Performance Score" is 4 or higher. If both conditions are true, calculate a bonus of 5% of Sales, otherwise return 0.</t>
    </r>
  </si>
  <si>
    <t>Row Labels</t>
  </si>
  <si>
    <t>Grand Total</t>
  </si>
  <si>
    <t>Sum of Sales</t>
  </si>
  <si>
    <t>% of Total</t>
  </si>
  <si>
    <r>
      <rPr>
        <b/>
        <sz val="11"/>
        <color theme="1"/>
        <rFont val="Segoe UI"/>
        <family val="2"/>
      </rPr>
      <t>Q6.2</t>
    </r>
    <r>
      <rPr>
        <sz val="11"/>
        <color theme="1"/>
        <rFont val="Segoe UI"/>
        <family val="2"/>
      </rPr>
      <t xml:space="preserve"> - Add a column to the PivotTable that calculates the percentage each category's sales are of the total.</t>
    </r>
  </si>
  <si>
    <t>White Goods</t>
  </si>
  <si>
    <t>Small Appliances</t>
  </si>
  <si>
    <t>Furnture</t>
  </si>
  <si>
    <t>Brown Goods</t>
  </si>
  <si>
    <t>Q5.1 Product Name - $ Price</t>
  </si>
  <si>
    <t>Q5.2 Spec 1</t>
  </si>
  <si>
    <t>Q5.2 Spec 2</t>
  </si>
  <si>
    <t>Q5.2 Spec 3</t>
  </si>
  <si>
    <t>Sony;Wireless;Noise Cancelling</t>
  </si>
  <si>
    <t>Google;Bluetooth;Water Resistant</t>
  </si>
  <si>
    <t>Stock</t>
  </si>
  <si>
    <t>Monitor</t>
  </si>
  <si>
    <t>Keyboard</t>
  </si>
  <si>
    <t>Mouse</t>
  </si>
  <si>
    <t>Printer</t>
  </si>
  <si>
    <t>Scanner</t>
  </si>
  <si>
    <t>Speaker</t>
  </si>
  <si>
    <t>Camera</t>
  </si>
  <si>
    <t>Router</t>
  </si>
  <si>
    <t>Webcam</t>
  </si>
  <si>
    <t>External HDD</t>
  </si>
  <si>
    <t>Flash Drive</t>
  </si>
  <si>
    <t>Projector</t>
  </si>
  <si>
    <t>Tables, Conditional Formatting, Filters &amp; Duplicates</t>
  </si>
  <si>
    <t>Concatenated Data</t>
  </si>
  <si>
    <t>Concatenated Data Alt.</t>
  </si>
  <si>
    <t>First Name</t>
  </si>
  <si>
    <t>Doe</t>
  </si>
  <si>
    <t>Smith</t>
  </si>
  <si>
    <t>Johnson</t>
  </si>
  <si>
    <t>Brown</t>
  </si>
  <si>
    <t>Wilson</t>
  </si>
  <si>
    <t>Lee</t>
  </si>
  <si>
    <t>Green</t>
  </si>
  <si>
    <t>Davis</t>
  </si>
  <si>
    <t>Black</t>
  </si>
  <si>
    <t>John</t>
  </si>
  <si>
    <t>Jane</t>
  </si>
  <si>
    <t>Alice</t>
  </si>
  <si>
    <t>Mark</t>
  </si>
  <si>
    <t>Emma</t>
  </si>
  <si>
    <t>Chris</t>
  </si>
  <si>
    <t>Olivia</t>
  </si>
  <si>
    <t>Liam</t>
  </si>
  <si>
    <t>Sophia</t>
  </si>
  <si>
    <t>Ethan</t>
  </si>
  <si>
    <t>Last Name</t>
  </si>
  <si>
    <t>ethan.black@example.com</t>
  </si>
  <si>
    <r>
      <rPr>
        <b/>
        <sz val="11"/>
        <color theme="1"/>
        <rFont val="Segoe UI"/>
        <family val="2"/>
      </rPr>
      <t>Q2.1</t>
    </r>
    <r>
      <rPr>
        <sz val="11"/>
        <color theme="1"/>
        <rFont val="Segoe UI"/>
        <family val="2"/>
      </rPr>
      <t xml:space="preserve"> - How many employees do we have age data for?</t>
    </r>
  </si>
  <si>
    <r>
      <rPr>
        <b/>
        <sz val="11"/>
        <color theme="1"/>
        <rFont val="Segoe UI"/>
        <family val="2"/>
      </rPr>
      <t xml:space="preserve">Q2.2 </t>
    </r>
    <r>
      <rPr>
        <sz val="11"/>
        <color theme="1"/>
        <rFont val="Segoe UI"/>
        <family val="2"/>
      </rPr>
      <t>- How many employees are listed in the table?</t>
    </r>
  </si>
  <si>
    <r>
      <rPr>
        <b/>
        <sz val="11"/>
        <color theme="1"/>
        <rFont val="Segoe UI"/>
        <family val="2"/>
      </rPr>
      <t>Q6.3</t>
    </r>
    <r>
      <rPr>
        <sz val="11"/>
        <color theme="1"/>
        <rFont val="Segoe UI"/>
        <family val="2"/>
      </rPr>
      <t xml:space="preserve"> - Filter the PivotTable for the year 2022 using a Slicer.</t>
    </r>
  </si>
  <si>
    <r>
      <rPr>
        <b/>
        <sz val="11"/>
        <color theme="1"/>
        <rFont val="Segoe UI"/>
        <family val="2"/>
      </rPr>
      <t>Bonus Points</t>
    </r>
    <r>
      <rPr>
        <sz val="11"/>
        <color theme="1"/>
        <rFont val="Segoe UI"/>
        <family val="2"/>
      </rPr>
      <t>: reference the data in a way that allows new data and updates to automatically be included upon refresh.</t>
    </r>
  </si>
  <si>
    <t>Counting Functions</t>
  </si>
  <si>
    <r>
      <rPr>
        <b/>
        <sz val="11"/>
        <color theme="1"/>
        <rFont val="Segoe UI"/>
        <family val="2"/>
      </rPr>
      <t>Q7</t>
    </r>
    <r>
      <rPr>
        <sz val="11"/>
        <color theme="1"/>
        <rFont val="Segoe UI"/>
        <family val="2"/>
      </rPr>
      <t xml:space="preserve"> - Fill the empty email address cells with a formula that creates the email address from the firstname.lastname@example.com</t>
    </r>
  </si>
  <si>
    <r>
      <rPr>
        <b/>
        <sz val="11"/>
        <color theme="1"/>
        <rFont val="Segoe UI"/>
        <family val="2"/>
      </rPr>
      <t>Bonus Points</t>
    </r>
    <r>
      <rPr>
        <sz val="11"/>
        <color theme="1"/>
        <rFont val="Segoe UI"/>
        <family val="2"/>
      </rPr>
      <t>: Select all the empty cells before typing in the formula and then enter the formula in all selected cells in one go.</t>
    </r>
  </si>
  <si>
    <r>
      <rPr>
        <b/>
        <sz val="11"/>
        <color theme="1"/>
        <rFont val="Segoe UI"/>
        <family val="2"/>
      </rPr>
      <t>Q8.1</t>
    </r>
    <r>
      <rPr>
        <sz val="11"/>
        <color theme="1"/>
        <rFont val="Segoe UI"/>
        <family val="2"/>
      </rPr>
      <t xml:space="preserve"> - Identify the duplicate rows in the dataset below.</t>
    </r>
  </si>
  <si>
    <r>
      <rPr>
        <b/>
        <sz val="11"/>
        <color theme="1"/>
        <rFont val="Segoe UI"/>
        <family val="2"/>
      </rPr>
      <t>Q8.2</t>
    </r>
    <r>
      <rPr>
        <sz val="11"/>
        <color theme="1"/>
        <rFont val="Segoe UI"/>
        <family val="2"/>
      </rPr>
      <t xml:space="preserve"> - Filter the dataset below to only show duplicate rows.</t>
    </r>
  </si>
  <si>
    <t>Calculating Percentages - Answer</t>
  </si>
  <si>
    <t>Counting Functions - Answers</t>
  </si>
  <si>
    <t>Logic Functions - Answers</t>
  </si>
  <si>
    <t>Lookup Functions - Answers</t>
  </si>
  <si>
    <t>Text Functions - Answers</t>
  </si>
  <si>
    <t>PivotTables - Answers</t>
  </si>
  <si>
    <r>
      <rPr>
        <b/>
        <sz val="11"/>
        <color theme="1"/>
        <rFont val="Segoe UI"/>
        <family val="2"/>
      </rPr>
      <t>Q6.1</t>
    </r>
    <r>
      <rPr>
        <sz val="11"/>
        <color theme="1"/>
        <rFont val="Segoe UI"/>
        <family val="2"/>
      </rPr>
      <t xml:space="preserve"> - Insert a PivotTable in cell G5 that summarises the Sales in the table below by Category down the rows. </t>
    </r>
  </si>
  <si>
    <t>Tables, Conditional Formatting, Filters &amp; Duplicates - Answers</t>
  </si>
  <si>
    <t>Data Cleaning - Answers</t>
  </si>
  <si>
    <r>
      <rPr>
        <b/>
        <sz val="11"/>
        <color theme="1"/>
        <rFont val="Segoe UI"/>
        <family val="2"/>
      </rPr>
      <t>Q6.1</t>
    </r>
    <r>
      <rPr>
        <sz val="11"/>
        <color theme="1"/>
        <rFont val="Segoe UI"/>
        <family val="2"/>
      </rPr>
      <t xml:space="preserve"> - Insert a PivotTable in cell G8 that summarises the Sales in the table below by Category down the rows. </t>
    </r>
  </si>
  <si>
    <t>Q1 Profit %</t>
  </si>
  <si>
    <r>
      <rPr>
        <b/>
        <sz val="11"/>
        <color theme="1"/>
        <rFont val="Segoe UI"/>
        <family val="2"/>
      </rPr>
      <t>Q1</t>
    </r>
    <r>
      <rPr>
        <sz val="11"/>
        <color theme="1"/>
        <rFont val="Segoe UI"/>
        <family val="2"/>
      </rPr>
      <t xml:space="preserve"> - Insert a formula to calculate the profit % (selling price - cost price, divided by cost price)</t>
    </r>
  </si>
  <si>
    <t>Intel i5</t>
  </si>
  <si>
    <t>8GB RAM</t>
  </si>
  <si>
    <t>256GB SSD</t>
  </si>
  <si>
    <t>Snapdragon 888</t>
  </si>
  <si>
    <t>6GB RAM</t>
  </si>
  <si>
    <t>128GB Storage</t>
  </si>
  <si>
    <t>Apple A14</t>
  </si>
  <si>
    <t>4GB RAM</t>
  </si>
  <si>
    <t>64GB Storage</t>
  </si>
  <si>
    <t>Sony</t>
  </si>
  <si>
    <t>Wireless</t>
  </si>
  <si>
    <t>Noise Cancelling</t>
  </si>
  <si>
    <t>Google</t>
  </si>
  <si>
    <t>Bluetooth</t>
  </si>
  <si>
    <t>Water Resistant</t>
  </si>
  <si>
    <t>Sum of % of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</si>
</sst>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quot;$&quot;* #,##0.00_-;_-&quot;$&quot;* &quot;-&quot;??_-;_-@_-"/>
    <numFmt numFmtId="165" formatCode="_-* #,##0.00_-;\-* #,##0.00_-;_-* &quot;-&quot;??_-;_-@_-"/>
    <numFmt numFmtId="166" formatCode="@*."/>
    <numFmt numFmtId="167" formatCode="_-* #,##0_-;\-* #,##0_-;_-* &quot;-&quot;??_-;_-@_-"/>
    <numFmt numFmtId="168" formatCode="&quot;$&quot;#,##0"/>
  </numFmts>
  <fonts count="12"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Segoe UI"/>
      <family val="2"/>
    </font>
    <font>
      <sz val="14"/>
      <name val="Calibri"/>
      <family val="2"/>
      <scheme val="minor"/>
    </font>
    <font>
      <b/>
      <sz val="14"/>
      <name val="Calibri"/>
      <family val="2"/>
      <scheme val="minor"/>
    </font>
    <font>
      <sz val="28"/>
      <color theme="0"/>
      <name val="Segoe UI Light"/>
      <family val="2"/>
    </font>
    <font>
      <sz val="11"/>
      <color theme="1"/>
      <name val="Calibri"/>
      <family val="2"/>
      <scheme val="minor"/>
    </font>
    <font>
      <b/>
      <sz val="11"/>
      <color theme="1"/>
      <name val="Segoe UI"/>
      <family val="2"/>
    </font>
    <font>
      <sz val="8"/>
      <name val="Calibri"/>
      <family val="2"/>
      <scheme val="minor"/>
    </font>
    <font>
      <sz val="11"/>
      <color rgb="FFFF0000"/>
      <name val="Segoe UI"/>
      <family val="2"/>
    </font>
    <font>
      <i/>
      <sz val="11"/>
      <color theme="1"/>
      <name val="Segoe UI"/>
      <family val="2"/>
    </font>
  </fonts>
  <fills count="4">
    <fill>
      <patternFill patternType="none"/>
    </fill>
    <fill>
      <patternFill patternType="gray125"/>
    </fill>
    <fill>
      <patternFill patternType="solid">
        <fgColor rgb="FF0F5511"/>
        <bgColor indexed="64"/>
      </patternFill>
    </fill>
    <fill>
      <patternFill patternType="solid">
        <fgColor theme="9" tint="0.79998168889431442"/>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5">
    <xf numFmtId="0" fontId="0" fillId="0" borderId="0"/>
    <xf numFmtId="0" fontId="2" fillId="0" borderId="0" applyNumberFormat="0" applyFill="0" applyBorder="0" applyAlignment="0" applyProtection="0"/>
    <xf numFmtId="164" fontId="7" fillId="0" borderId="0" applyFont="0" applyFill="0" applyBorder="0" applyAlignment="0" applyProtection="0"/>
    <xf numFmtId="165" fontId="7" fillId="0" borderId="0" applyFont="0" applyFill="0" applyBorder="0" applyAlignment="0" applyProtection="0"/>
    <xf numFmtId="9" fontId="7" fillId="0" borderId="0" applyFont="0" applyFill="0" applyBorder="0" applyAlignment="0" applyProtection="0"/>
  </cellStyleXfs>
  <cellXfs count="40">
    <xf numFmtId="0" fontId="0" fillId="0" borderId="0" xfId="0"/>
    <xf numFmtId="0" fontId="1" fillId="0" borderId="0" xfId="0" applyFont="1"/>
    <xf numFmtId="166" fontId="0" fillId="0" borderId="0" xfId="0" applyNumberFormat="1" applyAlignment="1">
      <alignment horizontal="left" indent="1"/>
    </xf>
    <xf numFmtId="0" fontId="2" fillId="0" borderId="0" xfId="1"/>
    <xf numFmtId="0" fontId="3" fillId="0" borderId="0" xfId="0" applyFont="1"/>
    <xf numFmtId="0" fontId="4" fillId="0" borderId="0" xfId="0" applyFont="1"/>
    <xf numFmtId="0" fontId="4" fillId="0" borderId="0" xfId="0" applyFont="1" applyAlignment="1">
      <alignment vertical="center"/>
    </xf>
    <xf numFmtId="0" fontId="6" fillId="2" borderId="0" xfId="0" applyFont="1" applyFill="1" applyAlignment="1">
      <alignment vertical="center"/>
    </xf>
    <xf numFmtId="4" fontId="0" fillId="0" borderId="0" xfId="0" applyNumberFormat="1"/>
    <xf numFmtId="0" fontId="3" fillId="2" borderId="0" xfId="0" applyFont="1" applyFill="1"/>
    <xf numFmtId="0" fontId="8" fillId="0" borderId="1" xfId="0" applyFont="1" applyBorder="1"/>
    <xf numFmtId="0" fontId="3" fillId="0" borderId="0" xfId="0" applyFont="1" applyAlignment="1">
      <alignment horizontal="left"/>
    </xf>
    <xf numFmtId="0" fontId="3" fillId="0" borderId="0" xfId="0" applyFont="1" applyAlignment="1">
      <alignment horizontal="right" indent="1"/>
    </xf>
    <xf numFmtId="9" fontId="3" fillId="3" borderId="0" xfId="4" applyFont="1" applyFill="1" applyAlignment="1">
      <alignment horizontal="right" indent="1"/>
    </xf>
    <xf numFmtId="0" fontId="8" fillId="0" borderId="1" xfId="0" applyFont="1" applyBorder="1" applyAlignment="1">
      <alignment horizontal="right"/>
    </xf>
    <xf numFmtId="0" fontId="8" fillId="0" borderId="1" xfId="0" applyFont="1" applyBorder="1" applyAlignment="1">
      <alignment horizontal="right" indent="1"/>
    </xf>
    <xf numFmtId="0" fontId="3" fillId="3" borderId="0" xfId="0" applyFont="1" applyFill="1"/>
    <xf numFmtId="167" fontId="3" fillId="0" borderId="0" xfId="3" applyNumberFormat="1" applyFont="1"/>
    <xf numFmtId="0" fontId="3" fillId="3" borderId="0" xfId="0" applyFont="1" applyFill="1" applyAlignment="1">
      <alignment horizontal="left" indent="1"/>
    </xf>
    <xf numFmtId="0" fontId="3" fillId="0" borderId="0" xfId="0" applyFont="1" applyAlignment="1">
      <alignment horizontal="right" indent="2"/>
    </xf>
    <xf numFmtId="0" fontId="0" fillId="0" borderId="0" xfId="0" applyAlignment="1">
      <alignment horizontal="right"/>
    </xf>
    <xf numFmtId="167" fontId="0" fillId="0" borderId="0" xfId="3" applyNumberFormat="1" applyFont="1"/>
    <xf numFmtId="0" fontId="1" fillId="0" borderId="1" xfId="0" applyFont="1" applyBorder="1"/>
    <xf numFmtId="0" fontId="1" fillId="0" borderId="1" xfId="0" applyFont="1" applyBorder="1" applyAlignment="1">
      <alignment horizontal="right" indent="1"/>
    </xf>
    <xf numFmtId="0" fontId="1" fillId="0" borderId="1" xfId="0" applyFont="1" applyBorder="1" applyAlignment="1">
      <alignment horizontal="left" indent="1"/>
    </xf>
    <xf numFmtId="0" fontId="0" fillId="0" borderId="0" xfId="0" applyAlignment="1">
      <alignment horizontal="left" indent="1"/>
    </xf>
    <xf numFmtId="0" fontId="3" fillId="0" borderId="0" xfId="0" applyFont="1" applyAlignment="1">
      <alignment horizontal="left" wrapText="1"/>
    </xf>
    <xf numFmtId="0" fontId="0" fillId="3" borderId="0" xfId="0" applyFill="1"/>
    <xf numFmtId="168" fontId="3" fillId="0" borderId="0" xfId="2" applyNumberFormat="1" applyFont="1" applyAlignment="1">
      <alignment horizontal="left"/>
    </xf>
    <xf numFmtId="0" fontId="8" fillId="0" borderId="0" xfId="0" applyFont="1" applyAlignment="1">
      <alignment horizontal="left" wrapText="1"/>
    </xf>
    <xf numFmtId="0" fontId="0" fillId="0" borderId="0" xfId="0" applyAlignment="1">
      <alignment horizontal="left"/>
    </xf>
    <xf numFmtId="10" fontId="0" fillId="0" borderId="0" xfId="0" applyNumberFormat="1"/>
    <xf numFmtId="0" fontId="10" fillId="0" borderId="0" xfId="0" applyFont="1"/>
    <xf numFmtId="0" fontId="11" fillId="3" borderId="0" xfId="0" applyFont="1" applyFill="1"/>
    <xf numFmtId="0" fontId="3" fillId="0" borderId="0" xfId="2" applyNumberFormat="1" applyFont="1" applyAlignment="1">
      <alignment horizontal="left"/>
    </xf>
    <xf numFmtId="9" fontId="3" fillId="0" borderId="0" xfId="4" applyFont="1"/>
    <xf numFmtId="0" fontId="0" fillId="0" borderId="0" xfId="0" pivotButton="1"/>
    <xf numFmtId="0" fontId="3" fillId="0" borderId="0" xfId="0" applyFont="1" applyAlignment="1">
      <alignment horizontal="left" wrapText="1"/>
    </xf>
    <xf numFmtId="9" fontId="3" fillId="3" borderId="0" xfId="4" applyNumberFormat="1" applyFont="1" applyFill="1" applyAlignment="1">
      <alignment horizontal="right" indent="1"/>
    </xf>
    <xf numFmtId="0" fontId="3" fillId="3" borderId="2" xfId="0" applyFont="1" applyFill="1" applyBorder="1"/>
  </cellXfs>
  <cellStyles count="5">
    <cellStyle name="Comma" xfId="3" builtinId="3"/>
    <cellStyle name="Currency" xfId="2" builtinId="4"/>
    <cellStyle name="Hyperlink" xfId="1" builtinId="8"/>
    <cellStyle name="Normal" xfId="0" builtinId="0"/>
    <cellStyle name="Percent" xfId="4" builtinId="5"/>
  </cellStyles>
  <dxfs count="28">
    <dxf>
      <font>
        <b val="0"/>
        <i val="0"/>
        <strike val="0"/>
        <condense val="0"/>
        <extend val="0"/>
        <outline val="0"/>
        <shadow val="0"/>
        <u val="none"/>
        <vertAlign val="baseline"/>
        <sz val="11"/>
        <color theme="1"/>
        <name val="Segoe UI"/>
        <family val="2"/>
        <scheme val="none"/>
      </font>
      <numFmt numFmtId="0" formatCode="General"/>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ill>
        <patternFill patternType="solid">
          <fgColor rgb="FFFFC7CE"/>
          <bgColor rgb="FF000000"/>
        </patternFill>
      </fill>
    </dxf>
    <dxf>
      <font>
        <color rgb="FF9C0006"/>
      </font>
      <fill>
        <patternFill>
          <bgColor rgb="FFFFC7CE"/>
        </patternFill>
      </fill>
    </dxf>
    <dxf>
      <numFmt numFmtId="4" formatCode="#,##0.00"/>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Segoe UI"/>
        <family val="2"/>
        <scheme val="none"/>
      </font>
      <numFmt numFmtId="0" formatCode="General"/>
    </dxf>
    <dxf>
      <font>
        <b val="0"/>
        <i val="0"/>
        <strike val="0"/>
        <condense val="0"/>
        <extend val="0"/>
        <outline val="0"/>
        <shadow val="0"/>
        <u val="none"/>
        <vertAlign val="baseline"/>
        <sz val="11"/>
        <color theme="1"/>
        <name val="Segoe UI"/>
        <family val="2"/>
        <scheme val="none"/>
      </font>
      <numFmt numFmtId="0" formatCode="General"/>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alignment horizontal="left" vertical="bottom" textRotation="0" wrapText="0" indent="0" justifyLastLine="0" shrinkToFit="0" readingOrder="0"/>
    </dxf>
    <dxf>
      <fill>
        <patternFill patternType="solid">
          <fgColor rgb="FFFFC7CE"/>
          <bgColor rgb="FF000000"/>
        </patternFill>
      </fill>
    </dxf>
    <dxf>
      <font>
        <b val="0"/>
        <i val="0"/>
        <strike val="0"/>
        <condense val="0"/>
        <extend val="0"/>
        <outline val="0"/>
        <shadow val="0"/>
        <u val="none"/>
        <vertAlign val="baseline"/>
        <sz val="11"/>
        <color rgb="FF000000"/>
        <name val="Segoe UI"/>
        <family val="2"/>
        <scheme val="none"/>
      </font>
    </dxf>
    <dxf>
      <font>
        <b val="0"/>
        <i val="0"/>
        <strike val="0"/>
        <condense val="0"/>
        <extend val="0"/>
        <outline val="0"/>
        <shadow val="0"/>
        <u val="none"/>
        <vertAlign val="baseline"/>
        <sz val="11"/>
        <color theme="1"/>
        <name val="Segoe UI"/>
        <family val="2"/>
        <scheme val="none"/>
      </font>
    </dxf>
    <dxf>
      <numFmt numFmtId="4" formatCode="#,##0.00"/>
    </dxf>
    <dxf>
      <numFmt numFmtId="0" formatCode="General"/>
    </dxf>
    <dxf>
      <numFmt numFmtId="0" formatCode="General"/>
    </dxf>
    <dxf>
      <numFmt numFmtId="0" formatCode="General"/>
    </dxf>
    <dxf>
      <numFmt numFmtId="0" formatCode="General"/>
    </dxf>
    <dxf>
      <alignment horizontal="right"/>
    </dxf>
    <dxf>
      <alignment horizontal="righ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1.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microsoft.com/office/2017/06/relationships/rdRichValue" Target="richData/rdrichvalue.xml"/><Relationship Id="rId30" Type="http://schemas.openxmlformats.org/officeDocument/2006/relationships/calcChain" Target="calcChain.xml"/><Relationship Id="rId35" Type="http://schemas.microsoft.com/office/2017/10/relationships/person" Target="persons/perso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ttps://www.myonlinetraininghub.com/" TargetMode="External"/><Relationship Id="rId5" Type="http://schemas.openxmlformats.org/officeDocument/2006/relationships/image" Target="../media/image4.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6.svg"/><Relationship Id="rId2" Type="http://schemas.openxmlformats.org/officeDocument/2006/relationships/image" Target="../media/image5.png"/><Relationship Id="rId1" Type="http://schemas.openxmlformats.org/officeDocument/2006/relationships/hyperlink" Target="https://www.myonlinetraininghub.com/excel-interview-questions" TargetMode="Externa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https://youtu.be/PlJxDftqSKU" TargetMode="External"/></Relationships>
</file>

<file path=xl/drawings/_rels/drawing3.xml.rels><?xml version="1.0" encoding="UTF-8" standalone="yes"?>
<Relationships xmlns="http://schemas.openxmlformats.org/package/2006/relationships"><Relationship Id="rId3" Type="http://schemas.openxmlformats.org/officeDocument/2006/relationships/hyperlink" Target="https://www.myonlinetraininghub.com/excel-interview-questions" TargetMode="Externa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https://youtu.be/PlJxDftqSKU" TargetMode="External"/><Relationship Id="rId5" Type="http://schemas.openxmlformats.org/officeDocument/2006/relationships/image" Target="../media/image6.sv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https://www.myonlinetraininghub.com/excel-count-counta-and-countblank-functions" TargetMode="External"/><Relationship Id="rId7" Type="http://schemas.openxmlformats.org/officeDocument/2006/relationships/hyperlink" Target="https://www.myonlinetraininghub.com/excel-interview-questions" TargetMode="Externa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https://www.myonlinetraininghub.com/excel-countif-and-countifs-formulas-explained" TargetMode="External"/><Relationship Id="rId5" Type="http://schemas.openxmlformats.org/officeDocument/2006/relationships/image" Target="../media/image8.svg"/><Relationship Id="rId10" Type="http://schemas.openxmlformats.org/officeDocument/2006/relationships/hyperlink" Target="https://youtu.be/PlJxDftqSKU" TargetMode="External"/><Relationship Id="rId4" Type="http://schemas.openxmlformats.org/officeDocument/2006/relationships/image" Target="../media/image7.png"/><Relationship Id="rId9" Type="http://schemas.openxmlformats.org/officeDocument/2006/relationships/image" Target="../media/image6.svg"/></Relationships>
</file>

<file path=xl/drawings/_rels/drawing5.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hyperlink" Target="https://www.myonlinetraininghub.com/excel-count-counta-and-countblank-functions" TargetMode="External"/><Relationship Id="rId7" Type="http://schemas.openxmlformats.org/officeDocument/2006/relationships/image" Target="../media/image5.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https://www.myonlinetraininghub.com/excel-interview-questions" TargetMode="External"/><Relationship Id="rId5" Type="http://schemas.openxmlformats.org/officeDocument/2006/relationships/image" Target="../media/image8.svg"/><Relationship Id="rId4" Type="http://schemas.openxmlformats.org/officeDocument/2006/relationships/image" Target="../media/image7.png"/><Relationship Id="rId9" Type="http://schemas.openxmlformats.org/officeDocument/2006/relationships/hyperlink" Target="https://youtu.be/PlJxDftqSKU" TargetMode="External"/></Relationships>
</file>

<file path=xl/drawings/_rels/drawing6.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hyperlink" Target="https://www.myonlinetraininghub.com/excel-if-statement-explained" TargetMode="External"/><Relationship Id="rId7" Type="http://schemas.openxmlformats.org/officeDocument/2006/relationships/image" Target="../media/image5.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https://www.myonlinetraininghub.com/excel-interview-questions" TargetMode="External"/><Relationship Id="rId5" Type="http://schemas.openxmlformats.org/officeDocument/2006/relationships/image" Target="../media/image10.svg"/><Relationship Id="rId4" Type="http://schemas.openxmlformats.org/officeDocument/2006/relationships/image" Target="../media/image9.png"/><Relationship Id="rId9" Type="http://schemas.openxmlformats.org/officeDocument/2006/relationships/hyperlink" Target="https://youtu.be/PlJxDftqSKU" TargetMode="External"/></Relationships>
</file>

<file path=xl/drawings/_rels/drawing7.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hyperlink" Target="https://www.myonlinetraininghub.com/excel-if-statement-explained" TargetMode="External"/><Relationship Id="rId7" Type="http://schemas.openxmlformats.org/officeDocument/2006/relationships/image" Target="../media/image5.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https://www.myonlinetraininghub.com/excel-interview-questions" TargetMode="External"/><Relationship Id="rId5" Type="http://schemas.openxmlformats.org/officeDocument/2006/relationships/image" Target="../media/image10.svg"/><Relationship Id="rId4" Type="http://schemas.openxmlformats.org/officeDocument/2006/relationships/image" Target="../media/image9.png"/><Relationship Id="rId9" Type="http://schemas.openxmlformats.org/officeDocument/2006/relationships/hyperlink" Target="https://youtu.be/PlJxDftqSKU" TargetMode="External"/></Relationships>
</file>

<file path=xl/drawings/_rels/drawing8.xml.rels><?xml version="1.0" encoding="UTF-8" standalone="yes"?>
<Relationships xmlns="http://schemas.openxmlformats.org/package/2006/relationships"><Relationship Id="rId8" Type="http://schemas.openxmlformats.org/officeDocument/2006/relationships/image" Target="../media/image14.svg"/><Relationship Id="rId13" Type="http://schemas.openxmlformats.org/officeDocument/2006/relationships/image" Target="../media/image5.png"/><Relationship Id="rId3" Type="http://schemas.openxmlformats.org/officeDocument/2006/relationships/hyperlink" Target="https://www.myonlinetraininghub.com/excel-index-and-match-functions" TargetMode="External"/><Relationship Id="rId7" Type="http://schemas.openxmlformats.org/officeDocument/2006/relationships/image" Target="../media/image13.png"/><Relationship Id="rId12" Type="http://schemas.openxmlformats.org/officeDocument/2006/relationships/hyperlink" Target="https://www.myonlinetraininghub.com/excel-interview-questions" TargetMode="Externa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https://www.myonlinetraininghub.com/excel-xlookup-function" TargetMode="External"/><Relationship Id="rId11" Type="http://schemas.openxmlformats.org/officeDocument/2006/relationships/image" Target="../media/image16.svg"/><Relationship Id="rId5" Type="http://schemas.openxmlformats.org/officeDocument/2006/relationships/image" Target="../media/image12.svg"/><Relationship Id="rId15" Type="http://schemas.openxmlformats.org/officeDocument/2006/relationships/hyperlink" Target="https://youtu.be/PlJxDftqSKU" TargetMode="External"/><Relationship Id="rId10" Type="http://schemas.openxmlformats.org/officeDocument/2006/relationships/image" Target="../media/image15.png"/><Relationship Id="rId4" Type="http://schemas.openxmlformats.org/officeDocument/2006/relationships/image" Target="../media/image11.png"/><Relationship Id="rId9" Type="http://schemas.openxmlformats.org/officeDocument/2006/relationships/hyperlink" Target="https://www.myonlinetraininghub.com/excel-vlookup-formulas-explained" TargetMode="External"/><Relationship Id="rId14" Type="http://schemas.openxmlformats.org/officeDocument/2006/relationships/image" Target="../media/image6.svg"/></Relationships>
</file>

<file path=xl/drawings/_rels/drawing9.xml.rels><?xml version="1.0" encoding="UTF-8" standalone="yes"?>
<Relationships xmlns="http://schemas.openxmlformats.org/package/2006/relationships"><Relationship Id="rId8" Type="http://schemas.openxmlformats.org/officeDocument/2006/relationships/image" Target="../media/image14.svg"/><Relationship Id="rId13" Type="http://schemas.openxmlformats.org/officeDocument/2006/relationships/image" Target="../media/image5.png"/><Relationship Id="rId3" Type="http://schemas.openxmlformats.org/officeDocument/2006/relationships/hyperlink" Target="https://www.myonlinetraininghub.com/excel-index-and-match-functions" TargetMode="External"/><Relationship Id="rId7" Type="http://schemas.openxmlformats.org/officeDocument/2006/relationships/image" Target="../media/image13.png"/><Relationship Id="rId12" Type="http://schemas.openxmlformats.org/officeDocument/2006/relationships/hyperlink" Target="https://www.myonlinetraininghub.com/excel-interview-questions" TargetMode="Externa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https://www.myonlinetraininghub.com/excel-xlookup-function" TargetMode="External"/><Relationship Id="rId11" Type="http://schemas.openxmlformats.org/officeDocument/2006/relationships/image" Target="../media/image16.svg"/><Relationship Id="rId5" Type="http://schemas.openxmlformats.org/officeDocument/2006/relationships/image" Target="../media/image12.svg"/><Relationship Id="rId15" Type="http://schemas.openxmlformats.org/officeDocument/2006/relationships/hyperlink" Target="https://youtu.be/PlJxDftqSKU" TargetMode="External"/><Relationship Id="rId10" Type="http://schemas.openxmlformats.org/officeDocument/2006/relationships/image" Target="../media/image15.png"/><Relationship Id="rId4" Type="http://schemas.openxmlformats.org/officeDocument/2006/relationships/image" Target="../media/image11.png"/><Relationship Id="rId9" Type="http://schemas.openxmlformats.org/officeDocument/2006/relationships/hyperlink" Target="https://www.myonlinetraininghub.com/excel-vlookup-formulas-explained" TargetMode="External"/><Relationship Id="rId14" Type="http://schemas.openxmlformats.org/officeDocument/2006/relationships/image" Target="../media/image6.svg"/></Relationships>
</file>

<file path=xl/drawings/_rels/drawing10.xml.rels><?xml version="1.0" encoding="UTF-8" standalone="yes"?>
<Relationships xmlns="http://schemas.openxmlformats.org/package/2006/relationships"><Relationship Id="rId8" Type="http://schemas.openxmlformats.org/officeDocument/2006/relationships/hyperlink" Target="https://www.myonlinetraininghub.com/excel-text-function" TargetMode="External"/><Relationship Id="rId13" Type="http://schemas.openxmlformats.org/officeDocument/2006/relationships/image" Target="../media/image6.svg"/><Relationship Id="rId3" Type="http://schemas.openxmlformats.org/officeDocument/2006/relationships/hyperlink" Target="https://www.myonlinetraininghub.com/excel-custom-number-format-guide" TargetMode="External"/><Relationship Id="rId7" Type="http://schemas.openxmlformats.org/officeDocument/2006/relationships/image" Target="../media/image20.svg"/><Relationship Id="rId12" Type="http://schemas.openxmlformats.org/officeDocument/2006/relationships/image" Target="../media/image5.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19.png"/><Relationship Id="rId11" Type="http://schemas.openxmlformats.org/officeDocument/2006/relationships/hyperlink" Target="https://www.myonlinetraininghub.com/excel-interview-questions" TargetMode="External"/><Relationship Id="rId5" Type="http://schemas.openxmlformats.org/officeDocument/2006/relationships/image" Target="../media/image18.svg"/><Relationship Id="rId10" Type="http://schemas.openxmlformats.org/officeDocument/2006/relationships/image" Target="../media/image22.svg"/><Relationship Id="rId4" Type="http://schemas.openxmlformats.org/officeDocument/2006/relationships/image" Target="../media/image17.png"/><Relationship Id="rId9" Type="http://schemas.openxmlformats.org/officeDocument/2006/relationships/image" Target="../media/image21.png"/><Relationship Id="rId14" Type="http://schemas.openxmlformats.org/officeDocument/2006/relationships/hyperlink" Target="https://youtu.be/PlJxDftqSKU" TargetMode="External"/></Relationships>
</file>

<file path=xl/drawings/_rels/drawing11.xml.rels><?xml version="1.0" encoding="UTF-8" standalone="yes"?>
<Relationships xmlns="http://schemas.openxmlformats.org/package/2006/relationships"><Relationship Id="rId8" Type="http://schemas.openxmlformats.org/officeDocument/2006/relationships/hyperlink" Target="https://www.myonlinetraininghub.com/excel-interview-questions" TargetMode="External"/><Relationship Id="rId3" Type="http://schemas.openxmlformats.org/officeDocument/2006/relationships/hyperlink" Target="https://www.myonlinetraininghub.com/excel-custom-number-format-guide" TargetMode="External"/><Relationship Id="rId7" Type="http://schemas.openxmlformats.org/officeDocument/2006/relationships/image" Target="../media/image20.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19.png"/><Relationship Id="rId11" Type="http://schemas.openxmlformats.org/officeDocument/2006/relationships/hyperlink" Target="https://youtu.be/PlJxDftqSKU" TargetMode="External"/><Relationship Id="rId5" Type="http://schemas.openxmlformats.org/officeDocument/2006/relationships/image" Target="../media/image18.svg"/><Relationship Id="rId10" Type="http://schemas.openxmlformats.org/officeDocument/2006/relationships/image" Target="../media/image6.svg"/><Relationship Id="rId4" Type="http://schemas.openxmlformats.org/officeDocument/2006/relationships/image" Target="../media/image17.png"/><Relationship Id="rId9" Type="http://schemas.openxmlformats.org/officeDocument/2006/relationships/image" Target="../media/image5.png"/></Relationships>
</file>

<file path=xl/drawings/_rels/drawing12.xml.rels><?xml version="1.0" encoding="UTF-8" standalone="yes"?>
<Relationships xmlns="http://schemas.openxmlformats.org/package/2006/relationships"><Relationship Id="rId3" Type="http://schemas.openxmlformats.org/officeDocument/2006/relationships/hyperlink" Target="https://www.myonlinetraininghub.com/pivot-tables-explained-excel" TargetMode="External"/><Relationship Id="rId7" Type="http://schemas.openxmlformats.org/officeDocument/2006/relationships/hyperlink" Target="https://youtu.be/PlJxDftqSKU" TargetMode="Externa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hyperlink" Target="https://www.myonlinetraininghub.com/excel-interview-questions" TargetMode="External"/></Relationships>
</file>

<file path=xl/drawings/_rels/drawing13.xml.rels><?xml version="1.0" encoding="UTF-8" standalone="yes"?>
<Relationships xmlns="http://schemas.openxmlformats.org/package/2006/relationships"><Relationship Id="rId3" Type="http://schemas.openxmlformats.org/officeDocument/2006/relationships/hyperlink" Target="https://www.myonlinetraininghub.com/pivot-tables-explained-excel" TargetMode="External"/><Relationship Id="rId7" Type="http://schemas.openxmlformats.org/officeDocument/2006/relationships/hyperlink" Target="https://youtu.be/PlJxDftqSKU" TargetMode="Externa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hyperlink" Target="https://www.myonlinetraininghub.com/excel-interview-questions" TargetMode="External"/></Relationships>
</file>

<file path=xl/drawings/_rels/drawing14.xml.rels><?xml version="1.0" encoding="UTF-8" standalone="yes"?>
<Relationships xmlns="http://schemas.openxmlformats.org/package/2006/relationships"><Relationship Id="rId3" Type="http://schemas.openxmlformats.org/officeDocument/2006/relationships/hyperlink" Target="https://www.myonlinetraininghub.com/excel-interview-questions" TargetMode="Externa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https://youtu.be/PlJxDftqSKU" TargetMode="External"/><Relationship Id="rId5" Type="http://schemas.openxmlformats.org/officeDocument/2006/relationships/image" Target="../media/image6.svg"/><Relationship Id="rId4" Type="http://schemas.openxmlformats.org/officeDocument/2006/relationships/image" Target="../media/image5.png"/></Relationships>
</file>

<file path=xl/drawings/_rels/drawing15.xml.rels><?xml version="1.0" encoding="UTF-8" standalone="yes"?>
<Relationships xmlns="http://schemas.openxmlformats.org/package/2006/relationships"><Relationship Id="rId3" Type="http://schemas.openxmlformats.org/officeDocument/2006/relationships/hyperlink" Target="https://www.myonlinetraininghub.com/excel-interview-questions" TargetMode="Externa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https://youtu.be/PlJxDftqSKU" TargetMode="External"/><Relationship Id="rId5" Type="http://schemas.openxmlformats.org/officeDocument/2006/relationships/image" Target="../media/image6.svg"/><Relationship Id="rId4" Type="http://schemas.openxmlformats.org/officeDocument/2006/relationships/image" Target="../media/image5.png"/></Relationships>
</file>

<file path=xl/drawings/_rels/drawing16.xml.rels><?xml version="1.0" encoding="UTF-8" standalone="yes"?>
<Relationships xmlns="http://schemas.openxmlformats.org/package/2006/relationships"><Relationship Id="rId8" Type="http://schemas.openxmlformats.org/officeDocument/2006/relationships/image" Target="../media/image26.svg"/><Relationship Id="rId3" Type="http://schemas.openxmlformats.org/officeDocument/2006/relationships/hyperlink" Target="https://www.myonlinetraininghub.com/how-to-use-excel-conditional-formatting" TargetMode="External"/><Relationship Id="rId7" Type="http://schemas.openxmlformats.org/officeDocument/2006/relationships/image" Target="../media/image25.png"/><Relationship Id="rId12" Type="http://schemas.openxmlformats.org/officeDocument/2006/relationships/hyperlink" Target="https://youtu.be/PlJxDftqSKU" TargetMode="Externa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https://www.myonlinetraininghub.com/excel-tables" TargetMode="External"/><Relationship Id="rId11" Type="http://schemas.openxmlformats.org/officeDocument/2006/relationships/image" Target="../media/image6.svg"/><Relationship Id="rId5" Type="http://schemas.openxmlformats.org/officeDocument/2006/relationships/image" Target="../media/image24.svg"/><Relationship Id="rId10" Type="http://schemas.openxmlformats.org/officeDocument/2006/relationships/image" Target="../media/image5.png"/><Relationship Id="rId4" Type="http://schemas.openxmlformats.org/officeDocument/2006/relationships/image" Target="../media/image23.png"/><Relationship Id="rId9" Type="http://schemas.openxmlformats.org/officeDocument/2006/relationships/hyperlink" Target="https://www.myonlinetraininghub.com/excel-interview-questions" TargetMode="External"/></Relationships>
</file>

<file path=xl/drawings/_rels/drawing17.xml.rels><?xml version="1.0" encoding="UTF-8" standalone="yes"?>
<Relationships xmlns="http://schemas.openxmlformats.org/package/2006/relationships"><Relationship Id="rId8" Type="http://schemas.openxmlformats.org/officeDocument/2006/relationships/image" Target="../media/image26.svg"/><Relationship Id="rId3" Type="http://schemas.openxmlformats.org/officeDocument/2006/relationships/hyperlink" Target="https://www.myonlinetraininghub.com/how-to-use-excel-conditional-formatting" TargetMode="External"/><Relationship Id="rId7" Type="http://schemas.openxmlformats.org/officeDocument/2006/relationships/image" Target="../media/image25.png"/><Relationship Id="rId12" Type="http://schemas.openxmlformats.org/officeDocument/2006/relationships/hyperlink" Target="https://youtu.be/PlJxDftqSKU" TargetMode="Externa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https://www.myonlinetraininghub.com/excel-tables" TargetMode="External"/><Relationship Id="rId11" Type="http://schemas.openxmlformats.org/officeDocument/2006/relationships/image" Target="../media/image6.svg"/><Relationship Id="rId5" Type="http://schemas.openxmlformats.org/officeDocument/2006/relationships/image" Target="../media/image24.svg"/><Relationship Id="rId10" Type="http://schemas.openxmlformats.org/officeDocument/2006/relationships/image" Target="../media/image5.png"/><Relationship Id="rId4" Type="http://schemas.openxmlformats.org/officeDocument/2006/relationships/image" Target="../media/image23.png"/><Relationship Id="rId9" Type="http://schemas.openxmlformats.org/officeDocument/2006/relationships/hyperlink" Target="https://www.myonlinetraininghub.com/excel-interview-questions" TargetMode="External"/></Relationships>
</file>

<file path=xl/drawings/_rels/drawing18.xml.rels><?xml version="1.0" encoding="UTF-8" standalone="yes"?>
<Relationships xmlns="http://schemas.openxmlformats.org/package/2006/relationships"><Relationship Id="rId8" Type="http://schemas.openxmlformats.org/officeDocument/2006/relationships/hyperlink" Target="https://www.instagram.com/mynda.treacy/" TargetMode="External"/><Relationship Id="rId13" Type="http://schemas.openxmlformats.org/officeDocument/2006/relationships/image" Target="../media/image29.png"/><Relationship Id="rId3" Type="http://schemas.openxmlformats.org/officeDocument/2006/relationships/image" Target="../media/image2.svg"/><Relationship Id="rId7" Type="http://schemas.openxmlformats.org/officeDocument/2006/relationships/image" Target="../media/image4.png"/><Relationship Id="rId12" Type="http://schemas.openxmlformats.org/officeDocument/2006/relationships/hyperlink" Target="https://www.tiktok.com/@myndatreacy" TargetMode="External"/><Relationship Id="rId17" Type="http://schemas.openxmlformats.org/officeDocument/2006/relationships/image" Target="../media/image31.png"/><Relationship Id="rId2" Type="http://schemas.openxmlformats.org/officeDocument/2006/relationships/image" Target="../media/image1.png"/><Relationship Id="rId16" Type="http://schemas.openxmlformats.org/officeDocument/2006/relationships/hyperlink" Target="https://twitter.com/OnlineTrainingH" TargetMode="External"/><Relationship Id="rId1" Type="http://schemas.openxmlformats.org/officeDocument/2006/relationships/hyperlink" Target="https://www.myonlinetraininghub.com/" TargetMode="External"/><Relationship Id="rId6" Type="http://schemas.openxmlformats.org/officeDocument/2006/relationships/hyperlink" Target="https://www.linkedin.com/in/myndatreacy/" TargetMode="External"/><Relationship Id="rId11" Type="http://schemas.openxmlformats.org/officeDocument/2006/relationships/image" Target="../media/image28.png"/><Relationship Id="rId5" Type="http://schemas.openxmlformats.org/officeDocument/2006/relationships/image" Target="../media/image3.png"/><Relationship Id="rId15" Type="http://schemas.openxmlformats.org/officeDocument/2006/relationships/image" Target="../media/image30.png"/><Relationship Id="rId10" Type="http://schemas.openxmlformats.org/officeDocument/2006/relationships/hyperlink" Target="https://www.pinterest.com.au/myndatreacy/" TargetMode="External"/><Relationship Id="rId4" Type="http://schemas.openxmlformats.org/officeDocument/2006/relationships/hyperlink" Target="https://www.youtube.com/user/MyOnlineTrainingHub" TargetMode="External"/><Relationship Id="rId9" Type="http://schemas.openxmlformats.org/officeDocument/2006/relationships/image" Target="../media/image27.png"/><Relationship Id="rId14" Type="http://schemas.openxmlformats.org/officeDocument/2006/relationships/hyperlink" Target="https://www.facebook.com/MyOnlineTrainingHub" TargetMode="External"/></Relationships>
</file>

<file path=xl/drawings/drawing1.xml><?xml version="1.0" encoding="utf-8"?>
<xdr:wsDr xmlns:xdr="http://schemas.openxmlformats.org/drawingml/2006/spreadsheetDrawing" xmlns:a="http://schemas.openxmlformats.org/drawingml/2006/main">
  <xdr:oneCellAnchor>
    <xdr:from>
      <xdr:col>10</xdr:col>
      <xdr:colOff>428625</xdr:colOff>
      <xdr:row>0</xdr:row>
      <xdr:rowOff>85725</xdr:rowOff>
    </xdr:from>
    <xdr:ext cx="3705377" cy="504824"/>
    <xdr:pic>
      <xdr:nvPicPr>
        <xdr:cNvPr id="3" name="my-online-training-hub-logo-2">
          <a:hlinkClick xmlns:r="http://schemas.openxmlformats.org/officeDocument/2006/relationships" r:id="rId1"/>
          <a:extLst>
            <a:ext uri="{FF2B5EF4-FFF2-40B4-BE49-F238E27FC236}">
              <a16:creationId xmlns:a16="http://schemas.microsoft.com/office/drawing/2014/main" id="{F38A69EB-FC7B-406A-9433-D6766A233C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6238875" y="85725"/>
          <a:ext cx="3705377" cy="504824"/>
        </a:xfrm>
        <a:prstGeom prst="rect">
          <a:avLst/>
        </a:prstGeom>
      </xdr:spPr>
    </xdr:pic>
    <xdr:clientData/>
  </xdr:oneCellAnchor>
  <xdr:twoCellAnchor editAs="oneCell">
    <xdr:from>
      <xdr:col>1</xdr:col>
      <xdr:colOff>0</xdr:colOff>
      <xdr:row>11</xdr:row>
      <xdr:rowOff>0</xdr:rowOff>
    </xdr:from>
    <xdr:to>
      <xdr:col>2</xdr:col>
      <xdr:colOff>0</xdr:colOff>
      <xdr:row>11</xdr:row>
      <xdr:rowOff>0</xdr:rowOff>
    </xdr:to>
    <xdr:pic>
      <xdr:nvPicPr>
        <xdr:cNvPr id="2" name="Picture 1" descr="YouTube Channel">
          <a:extLst>
            <a:ext uri="{FF2B5EF4-FFF2-40B4-BE49-F238E27FC236}">
              <a16:creationId xmlns:a16="http://schemas.microsoft.com/office/drawing/2014/main" id="{D3EAB3B2-8E9F-2873-E52B-CA50C6E4A61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23850" y="3143250"/>
          <a:ext cx="6096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xdr:row>
      <xdr:rowOff>0</xdr:rowOff>
    </xdr:from>
    <xdr:to>
      <xdr:col>2</xdr:col>
      <xdr:colOff>0</xdr:colOff>
      <xdr:row>11</xdr:row>
      <xdr:rowOff>0</xdr:rowOff>
    </xdr:to>
    <xdr:pic>
      <xdr:nvPicPr>
        <xdr:cNvPr id="4" name="Picture 3" descr="LinkedIn Profile">
          <a:extLst>
            <a:ext uri="{FF2B5EF4-FFF2-40B4-BE49-F238E27FC236}">
              <a16:creationId xmlns:a16="http://schemas.microsoft.com/office/drawing/2014/main" id="{BBC772A7-4575-1821-E4F7-0B92876BF32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23850" y="3143250"/>
          <a:ext cx="6096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571500</xdr:colOff>
      <xdr:row>0</xdr:row>
      <xdr:rowOff>161925</xdr:rowOff>
    </xdr:from>
    <xdr:to>
      <xdr:col>6</xdr:col>
      <xdr:colOff>609600</xdr:colOff>
      <xdr:row>0</xdr:row>
      <xdr:rowOff>457200</xdr:rowOff>
    </xdr:to>
    <xdr:grpSp>
      <xdr:nvGrpSpPr>
        <xdr:cNvPr id="4" name="Group 3">
          <a:hlinkClick xmlns:r="http://schemas.openxmlformats.org/officeDocument/2006/relationships" r:id="rId1"/>
          <a:extLst>
            <a:ext uri="{FF2B5EF4-FFF2-40B4-BE49-F238E27FC236}">
              <a16:creationId xmlns:a16="http://schemas.microsoft.com/office/drawing/2014/main" id="{71E5FD24-9D9A-4788-824C-0B7FC2EEBB75}"/>
            </a:ext>
          </a:extLst>
        </xdr:cNvPr>
        <xdr:cNvGrpSpPr/>
      </xdr:nvGrpSpPr>
      <xdr:grpSpPr>
        <a:xfrm>
          <a:off x="4953000" y="161925"/>
          <a:ext cx="1196340" cy="295275"/>
          <a:chOff x="4486275" y="142875"/>
          <a:chExt cx="1162050" cy="295275"/>
        </a:xfrm>
      </xdr:grpSpPr>
      <xdr:sp macro="" textlink="">
        <xdr:nvSpPr>
          <xdr:cNvPr id="5" name="Rectangle: Rounded Corners 4">
            <a:extLst>
              <a:ext uri="{FF2B5EF4-FFF2-40B4-BE49-F238E27FC236}">
                <a16:creationId xmlns:a16="http://schemas.microsoft.com/office/drawing/2014/main" id="{49E7830F-4CB2-467C-A7CE-5297ED3AD77C}"/>
              </a:ext>
            </a:extLst>
          </xdr:cNvPr>
          <xdr:cNvSpPr/>
        </xdr:nvSpPr>
        <xdr:spPr>
          <a:xfrm>
            <a:off x="4486275" y="142875"/>
            <a:ext cx="1162050"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read tutorial</a:t>
            </a:r>
          </a:p>
        </xdr:txBody>
      </xdr:sp>
      <xdr:pic>
        <xdr:nvPicPr>
          <xdr:cNvPr id="6" name="Graphic 5" descr="Document">
            <a:extLst>
              <a:ext uri="{FF2B5EF4-FFF2-40B4-BE49-F238E27FC236}">
                <a16:creationId xmlns:a16="http://schemas.microsoft.com/office/drawing/2014/main" id="{CE416867-B603-4CF6-8CCD-B3DEF1DC561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5391149" y="171449"/>
            <a:ext cx="238126" cy="238126"/>
          </a:xfrm>
          <a:prstGeom prst="rect">
            <a:avLst/>
          </a:prstGeom>
        </xdr:spPr>
      </xdr:pic>
    </xdr:grpSp>
    <xdr:clientData/>
  </xdr:twoCellAnchor>
  <xdr:twoCellAnchor editAs="absolute">
    <xdr:from>
      <xdr:col>6</xdr:col>
      <xdr:colOff>752474</xdr:colOff>
      <xdr:row>0</xdr:row>
      <xdr:rowOff>161925</xdr:rowOff>
    </xdr:from>
    <xdr:to>
      <xdr:col>7</xdr:col>
      <xdr:colOff>466724</xdr:colOff>
      <xdr:row>0</xdr:row>
      <xdr:rowOff>457200</xdr:rowOff>
    </xdr:to>
    <xdr:grpSp>
      <xdr:nvGrpSpPr>
        <xdr:cNvPr id="7" name="Group 6">
          <a:hlinkClick xmlns:r="http://schemas.openxmlformats.org/officeDocument/2006/relationships" r:id="rId4"/>
          <a:extLst>
            <a:ext uri="{FF2B5EF4-FFF2-40B4-BE49-F238E27FC236}">
              <a16:creationId xmlns:a16="http://schemas.microsoft.com/office/drawing/2014/main" id="{375BC04F-A7FA-4553-AC2F-342089FED0A1}"/>
            </a:ext>
          </a:extLst>
        </xdr:cNvPr>
        <xdr:cNvGrpSpPr/>
      </xdr:nvGrpSpPr>
      <xdr:grpSpPr>
        <a:xfrm>
          <a:off x="6292214" y="161925"/>
          <a:ext cx="1405890" cy="295275"/>
          <a:chOff x="5400674" y="152400"/>
          <a:chExt cx="1362075" cy="295275"/>
        </a:xfrm>
      </xdr:grpSpPr>
      <xdr:sp macro="" textlink="">
        <xdr:nvSpPr>
          <xdr:cNvPr id="8" name="Rectangle: Rounded Corners 7">
            <a:extLst>
              <a:ext uri="{FF2B5EF4-FFF2-40B4-BE49-F238E27FC236}">
                <a16:creationId xmlns:a16="http://schemas.microsoft.com/office/drawing/2014/main" id="{77ADA9DC-3116-4664-8552-7CDB79B3CDA7}"/>
              </a:ext>
            </a:extLst>
          </xdr:cNvPr>
          <xdr:cNvSpPr/>
        </xdr:nvSpPr>
        <xdr:spPr>
          <a:xfrm>
            <a:off x="5400674" y="152400"/>
            <a:ext cx="1362075"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watch tutorial</a:t>
            </a:r>
          </a:p>
        </xdr:txBody>
      </xdr:sp>
      <xdr:grpSp>
        <xdr:nvGrpSpPr>
          <xdr:cNvPr id="9" name="Group 8">
            <a:extLst>
              <a:ext uri="{FF2B5EF4-FFF2-40B4-BE49-F238E27FC236}">
                <a16:creationId xmlns:a16="http://schemas.microsoft.com/office/drawing/2014/main" id="{0E112293-5382-42F5-A79E-9A350F32BA7F}"/>
              </a:ext>
            </a:extLst>
          </xdr:cNvPr>
          <xdr:cNvGrpSpPr/>
        </xdr:nvGrpSpPr>
        <xdr:grpSpPr>
          <a:xfrm>
            <a:off x="6419850" y="200025"/>
            <a:ext cx="280427" cy="200025"/>
            <a:chOff x="5495924" y="2943225"/>
            <a:chExt cx="1362075" cy="971550"/>
          </a:xfrm>
        </xdr:grpSpPr>
        <xdr:sp macro="" textlink="">
          <xdr:nvSpPr>
            <xdr:cNvPr id="10" name="Rectangle: Rounded Corners 9">
              <a:extLst>
                <a:ext uri="{FF2B5EF4-FFF2-40B4-BE49-F238E27FC236}">
                  <a16:creationId xmlns:a16="http://schemas.microsoft.com/office/drawing/2014/main" id="{420CB69B-07B1-46CB-8578-CCD3179959C3}"/>
                </a:ext>
              </a:extLst>
            </xdr:cNvPr>
            <xdr:cNvSpPr/>
          </xdr:nvSpPr>
          <xdr:spPr>
            <a:xfrm>
              <a:off x="5495924" y="2943225"/>
              <a:ext cx="1362075" cy="971550"/>
            </a:xfrm>
            <a:prstGeom prst="roundRect">
              <a:avLst>
                <a:gd name="adj" fmla="val 23738"/>
              </a:avLst>
            </a:prstGeom>
            <a:solidFill>
              <a:srgbClr val="FF0000">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1" name="Isosceles Triangle 10">
              <a:extLst>
                <a:ext uri="{FF2B5EF4-FFF2-40B4-BE49-F238E27FC236}">
                  <a16:creationId xmlns:a16="http://schemas.microsoft.com/office/drawing/2014/main" id="{DCF56BF2-15BC-4B54-8BF2-163EF6831FF4}"/>
                </a:ext>
              </a:extLst>
            </xdr:cNvPr>
            <xdr:cNvSpPr/>
          </xdr:nvSpPr>
          <xdr:spPr>
            <a:xfrm rot="5400000">
              <a:off x="5960961" y="3267000"/>
              <a:ext cx="432000" cy="3240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grpSp>
    <xdr:clientData/>
  </xdr:twoCellAnchor>
  <xdr:twoCellAnchor editAs="absolute">
    <xdr:from>
      <xdr:col>8</xdr:col>
      <xdr:colOff>323697</xdr:colOff>
      <xdr:row>0</xdr:row>
      <xdr:rowOff>57151</xdr:rowOff>
    </xdr:from>
    <xdr:to>
      <xdr:col>14</xdr:col>
      <xdr:colOff>95249</xdr:colOff>
      <xdr:row>0</xdr:row>
      <xdr:rowOff>561975</xdr:rowOff>
    </xdr:to>
    <xdr:pic>
      <xdr:nvPicPr>
        <xdr:cNvPr id="14" name="my-online-training-hub-logo-2">
          <a:extLst>
            <a:ext uri="{FF2B5EF4-FFF2-40B4-BE49-F238E27FC236}">
              <a16:creationId xmlns:a16="http://schemas.microsoft.com/office/drawing/2014/main" id="{5E989121-4CFB-470C-9204-2818F35A927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886422" y="57151"/>
          <a:ext cx="3705377" cy="504824"/>
        </a:xfrm>
        <a:prstGeom prst="rect">
          <a:avLst/>
        </a:prstGeom>
      </xdr:spPr>
    </xdr:pic>
    <xdr:clientData/>
  </xdr:twoCellAnchor>
  <xdr:twoCellAnchor>
    <xdr:from>
      <xdr:col>5</xdr:col>
      <xdr:colOff>419099</xdr:colOff>
      <xdr:row>5</xdr:row>
      <xdr:rowOff>9525</xdr:rowOff>
    </xdr:from>
    <xdr:to>
      <xdr:col>6</xdr:col>
      <xdr:colOff>1562100</xdr:colOff>
      <xdr:row>15</xdr:row>
      <xdr:rowOff>123825</xdr:rowOff>
    </xdr:to>
    <xdr:sp macro="" textlink="">
      <xdr:nvSpPr>
        <xdr:cNvPr id="2" name="Speech Bubble: Rectangle 1">
          <a:extLst>
            <a:ext uri="{FF2B5EF4-FFF2-40B4-BE49-F238E27FC236}">
              <a16:creationId xmlns:a16="http://schemas.microsoft.com/office/drawing/2014/main" id="{4ECEBEB5-B78A-BF06-554C-B24C2FA67BA6}"/>
            </a:ext>
          </a:extLst>
        </xdr:cNvPr>
        <xdr:cNvSpPr/>
      </xdr:nvSpPr>
      <xdr:spPr>
        <a:xfrm>
          <a:off x="4933949" y="1466850"/>
          <a:ext cx="2266951" cy="2209800"/>
        </a:xfrm>
        <a:prstGeom prst="wedgeRectCallout">
          <a:avLst>
            <a:gd name="adj1" fmla="val -56849"/>
            <a:gd name="adj2" fmla="val -23157"/>
          </a:avLst>
        </a:prstGeom>
        <a:solidFill>
          <a:schemeClr val="accent3"/>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100" b="0" i="0">
              <a:solidFill>
                <a:schemeClr val="lt1"/>
              </a:solidFill>
              <a:effectLst/>
              <a:latin typeface="+mn-lt"/>
              <a:ea typeface="+mn-ea"/>
              <a:cs typeface="+mn-cs"/>
            </a:rPr>
            <a:t>Excel follows general mathematical rules for calculations, which is:</a:t>
          </a:r>
        </a:p>
        <a:p>
          <a:pPr algn="l"/>
          <a:endParaRPr lang="en-AU" sz="1100" b="0" i="0">
            <a:solidFill>
              <a:schemeClr val="lt1"/>
            </a:solidFill>
            <a:effectLst/>
            <a:latin typeface="+mn-lt"/>
            <a:ea typeface="+mn-ea"/>
            <a:cs typeface="+mn-cs"/>
          </a:endParaRPr>
        </a:p>
        <a:p>
          <a:pPr algn="l"/>
          <a:r>
            <a:rPr lang="en-AU" sz="1100" b="1" i="0">
              <a:solidFill>
                <a:schemeClr val="lt1"/>
              </a:solidFill>
              <a:effectLst/>
              <a:latin typeface="+mn-lt"/>
              <a:ea typeface="+mn-ea"/>
              <a:cs typeface="+mn-cs"/>
            </a:rPr>
            <a:t>P</a:t>
          </a:r>
          <a:r>
            <a:rPr lang="en-AU" sz="1100" b="0" i="0">
              <a:solidFill>
                <a:schemeClr val="lt1"/>
              </a:solidFill>
              <a:effectLst/>
              <a:latin typeface="+mn-lt"/>
              <a:ea typeface="+mn-ea"/>
              <a:cs typeface="+mn-cs"/>
            </a:rPr>
            <a:t>arentheses, </a:t>
          </a:r>
        </a:p>
        <a:p>
          <a:pPr algn="l"/>
          <a:r>
            <a:rPr lang="en-AU" sz="1100" b="1" i="0">
              <a:solidFill>
                <a:schemeClr val="lt1"/>
              </a:solidFill>
              <a:effectLst/>
              <a:latin typeface="+mn-lt"/>
              <a:ea typeface="+mn-ea"/>
              <a:cs typeface="+mn-cs"/>
            </a:rPr>
            <a:t>E</a:t>
          </a:r>
          <a:r>
            <a:rPr lang="en-AU" sz="1100" b="0" i="0">
              <a:solidFill>
                <a:schemeClr val="lt1"/>
              </a:solidFill>
              <a:effectLst/>
              <a:latin typeface="+mn-lt"/>
              <a:ea typeface="+mn-ea"/>
              <a:cs typeface="+mn-cs"/>
            </a:rPr>
            <a:t>xponents, </a:t>
          </a:r>
        </a:p>
        <a:p>
          <a:pPr algn="l"/>
          <a:r>
            <a:rPr lang="en-AU" sz="1100" b="1" i="0">
              <a:solidFill>
                <a:schemeClr val="lt1"/>
              </a:solidFill>
              <a:effectLst/>
              <a:latin typeface="+mn-lt"/>
              <a:ea typeface="+mn-ea"/>
              <a:cs typeface="+mn-cs"/>
            </a:rPr>
            <a:t>M</a:t>
          </a:r>
          <a:r>
            <a:rPr lang="en-AU" sz="1100" b="0" i="0">
              <a:solidFill>
                <a:schemeClr val="lt1"/>
              </a:solidFill>
              <a:effectLst/>
              <a:latin typeface="+mn-lt"/>
              <a:ea typeface="+mn-ea"/>
              <a:cs typeface="+mn-cs"/>
            </a:rPr>
            <a:t>ultiplication and </a:t>
          </a:r>
        </a:p>
        <a:p>
          <a:pPr algn="l"/>
          <a:r>
            <a:rPr lang="en-AU" sz="1100" b="1" i="0">
              <a:solidFill>
                <a:schemeClr val="lt1"/>
              </a:solidFill>
              <a:effectLst/>
              <a:latin typeface="+mn-lt"/>
              <a:ea typeface="+mn-ea"/>
              <a:cs typeface="+mn-cs"/>
            </a:rPr>
            <a:t>D</a:t>
          </a:r>
          <a:r>
            <a:rPr lang="en-AU" sz="1100" b="0" i="0">
              <a:solidFill>
                <a:schemeClr val="lt1"/>
              </a:solidFill>
              <a:effectLst/>
              <a:latin typeface="+mn-lt"/>
              <a:ea typeface="+mn-ea"/>
              <a:cs typeface="+mn-cs"/>
            </a:rPr>
            <a:t>ivision, </a:t>
          </a:r>
        </a:p>
        <a:p>
          <a:pPr algn="l"/>
          <a:r>
            <a:rPr lang="en-AU" sz="1100" b="1" i="0">
              <a:solidFill>
                <a:schemeClr val="lt1"/>
              </a:solidFill>
              <a:effectLst/>
              <a:latin typeface="+mn-lt"/>
              <a:ea typeface="+mn-ea"/>
              <a:cs typeface="+mn-cs"/>
            </a:rPr>
            <a:t>A</a:t>
          </a:r>
          <a:r>
            <a:rPr lang="en-AU" sz="1100" b="0" i="0">
              <a:solidFill>
                <a:schemeClr val="lt1"/>
              </a:solidFill>
              <a:effectLst/>
              <a:latin typeface="+mn-lt"/>
              <a:ea typeface="+mn-ea"/>
              <a:cs typeface="+mn-cs"/>
            </a:rPr>
            <a:t>ddition and </a:t>
          </a:r>
        </a:p>
        <a:p>
          <a:pPr algn="l"/>
          <a:r>
            <a:rPr lang="en-AU" sz="1100" b="1" i="0">
              <a:solidFill>
                <a:schemeClr val="lt1"/>
              </a:solidFill>
              <a:effectLst/>
              <a:latin typeface="+mn-lt"/>
              <a:ea typeface="+mn-ea"/>
              <a:cs typeface="+mn-cs"/>
            </a:rPr>
            <a:t>S</a:t>
          </a:r>
          <a:r>
            <a:rPr lang="en-AU" sz="1100" b="0" i="0">
              <a:solidFill>
                <a:schemeClr val="lt1"/>
              </a:solidFill>
              <a:effectLst/>
              <a:latin typeface="+mn-lt"/>
              <a:ea typeface="+mn-ea"/>
              <a:cs typeface="+mn-cs"/>
            </a:rPr>
            <a:t>ubtraction</a:t>
          </a:r>
        </a:p>
        <a:p>
          <a:pPr algn="l"/>
          <a:endParaRPr lang="en-AU" sz="1100" b="0" i="0">
            <a:solidFill>
              <a:schemeClr val="lt1"/>
            </a:solidFill>
            <a:effectLst/>
            <a:latin typeface="+mn-lt"/>
            <a:ea typeface="+mn-ea"/>
            <a:cs typeface="+mn-cs"/>
          </a:endParaRPr>
        </a:p>
        <a:p>
          <a:pPr algn="l"/>
          <a:r>
            <a:rPr lang="en-AU" sz="1100" b="0" i="0">
              <a:solidFill>
                <a:schemeClr val="lt1"/>
              </a:solidFill>
              <a:effectLst/>
              <a:latin typeface="+mn-lt"/>
              <a:ea typeface="+mn-ea"/>
              <a:cs typeface="+mn-cs"/>
            </a:rPr>
            <a:t>To remember the order, use the PEMDAS acronym.</a:t>
          </a:r>
          <a:endParaRPr lang="en-AU" sz="1100" kern="12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9</xdr:col>
      <xdr:colOff>466572</xdr:colOff>
      <xdr:row>0</xdr:row>
      <xdr:rowOff>57151</xdr:rowOff>
    </xdr:from>
    <xdr:to>
      <xdr:col>15</xdr:col>
      <xdr:colOff>409574</xdr:colOff>
      <xdr:row>0</xdr:row>
      <xdr:rowOff>561975</xdr:rowOff>
    </xdr:to>
    <xdr:pic>
      <xdr:nvPicPr>
        <xdr:cNvPr id="10" name="my-online-training-hub-logo-2">
          <a:extLst>
            <a:ext uri="{FF2B5EF4-FFF2-40B4-BE49-F238E27FC236}">
              <a16:creationId xmlns:a16="http://schemas.microsoft.com/office/drawing/2014/main" id="{4586C9DB-B2EE-40E0-8AA9-5B49BEB9FC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029422" y="57151"/>
          <a:ext cx="3705377" cy="504824"/>
        </a:xfrm>
        <a:prstGeom prst="rect">
          <a:avLst/>
        </a:prstGeom>
      </xdr:spPr>
    </xdr:pic>
    <xdr:clientData/>
  </xdr:twoCellAnchor>
  <xdr:twoCellAnchor>
    <xdr:from>
      <xdr:col>5</xdr:col>
      <xdr:colOff>514349</xdr:colOff>
      <xdr:row>5</xdr:row>
      <xdr:rowOff>9525</xdr:rowOff>
    </xdr:from>
    <xdr:to>
      <xdr:col>8</xdr:col>
      <xdr:colOff>266700</xdr:colOff>
      <xdr:row>15</xdr:row>
      <xdr:rowOff>123825</xdr:rowOff>
    </xdr:to>
    <xdr:sp macro="" textlink="">
      <xdr:nvSpPr>
        <xdr:cNvPr id="11" name="Speech Bubble: Rectangle 10">
          <a:extLst>
            <a:ext uri="{FF2B5EF4-FFF2-40B4-BE49-F238E27FC236}">
              <a16:creationId xmlns:a16="http://schemas.microsoft.com/office/drawing/2014/main" id="{04A9208D-DE41-49C5-9B7C-165FACE787C1}"/>
            </a:ext>
          </a:extLst>
        </xdr:cNvPr>
        <xdr:cNvSpPr/>
      </xdr:nvSpPr>
      <xdr:spPr>
        <a:xfrm>
          <a:off x="4772024" y="1466850"/>
          <a:ext cx="2266951" cy="2209800"/>
        </a:xfrm>
        <a:prstGeom prst="wedgeRectCallout">
          <a:avLst>
            <a:gd name="adj1" fmla="val -56849"/>
            <a:gd name="adj2" fmla="val -23157"/>
          </a:avLst>
        </a:prstGeom>
        <a:solidFill>
          <a:schemeClr val="accent3"/>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100" b="0" i="0">
              <a:solidFill>
                <a:schemeClr val="lt1"/>
              </a:solidFill>
              <a:effectLst/>
              <a:latin typeface="+mn-lt"/>
              <a:ea typeface="+mn-ea"/>
              <a:cs typeface="+mn-cs"/>
            </a:rPr>
            <a:t>Excel follows general mathematical rules for calculations, which is:</a:t>
          </a:r>
        </a:p>
        <a:p>
          <a:pPr algn="l"/>
          <a:endParaRPr lang="en-AU" sz="1100" b="0" i="0">
            <a:solidFill>
              <a:schemeClr val="lt1"/>
            </a:solidFill>
            <a:effectLst/>
            <a:latin typeface="+mn-lt"/>
            <a:ea typeface="+mn-ea"/>
            <a:cs typeface="+mn-cs"/>
          </a:endParaRPr>
        </a:p>
        <a:p>
          <a:pPr algn="l"/>
          <a:r>
            <a:rPr lang="en-AU" sz="1100" b="1" i="0">
              <a:solidFill>
                <a:schemeClr val="lt1"/>
              </a:solidFill>
              <a:effectLst/>
              <a:latin typeface="+mn-lt"/>
              <a:ea typeface="+mn-ea"/>
              <a:cs typeface="+mn-cs"/>
            </a:rPr>
            <a:t>P</a:t>
          </a:r>
          <a:r>
            <a:rPr lang="en-AU" sz="1100" b="0" i="0">
              <a:solidFill>
                <a:schemeClr val="lt1"/>
              </a:solidFill>
              <a:effectLst/>
              <a:latin typeface="+mn-lt"/>
              <a:ea typeface="+mn-ea"/>
              <a:cs typeface="+mn-cs"/>
            </a:rPr>
            <a:t>arentheses, </a:t>
          </a:r>
        </a:p>
        <a:p>
          <a:pPr algn="l"/>
          <a:r>
            <a:rPr lang="en-AU" sz="1100" b="1" i="0">
              <a:solidFill>
                <a:schemeClr val="lt1"/>
              </a:solidFill>
              <a:effectLst/>
              <a:latin typeface="+mn-lt"/>
              <a:ea typeface="+mn-ea"/>
              <a:cs typeface="+mn-cs"/>
            </a:rPr>
            <a:t>E</a:t>
          </a:r>
          <a:r>
            <a:rPr lang="en-AU" sz="1100" b="0" i="0">
              <a:solidFill>
                <a:schemeClr val="lt1"/>
              </a:solidFill>
              <a:effectLst/>
              <a:latin typeface="+mn-lt"/>
              <a:ea typeface="+mn-ea"/>
              <a:cs typeface="+mn-cs"/>
            </a:rPr>
            <a:t>xponents, </a:t>
          </a:r>
        </a:p>
        <a:p>
          <a:pPr algn="l"/>
          <a:r>
            <a:rPr lang="en-AU" sz="1100" b="1" i="0">
              <a:solidFill>
                <a:schemeClr val="lt1"/>
              </a:solidFill>
              <a:effectLst/>
              <a:latin typeface="+mn-lt"/>
              <a:ea typeface="+mn-ea"/>
              <a:cs typeface="+mn-cs"/>
            </a:rPr>
            <a:t>M</a:t>
          </a:r>
          <a:r>
            <a:rPr lang="en-AU" sz="1100" b="0" i="0">
              <a:solidFill>
                <a:schemeClr val="lt1"/>
              </a:solidFill>
              <a:effectLst/>
              <a:latin typeface="+mn-lt"/>
              <a:ea typeface="+mn-ea"/>
              <a:cs typeface="+mn-cs"/>
            </a:rPr>
            <a:t>ultiplication and </a:t>
          </a:r>
        </a:p>
        <a:p>
          <a:pPr algn="l"/>
          <a:r>
            <a:rPr lang="en-AU" sz="1100" b="1" i="0">
              <a:solidFill>
                <a:schemeClr val="lt1"/>
              </a:solidFill>
              <a:effectLst/>
              <a:latin typeface="+mn-lt"/>
              <a:ea typeface="+mn-ea"/>
              <a:cs typeface="+mn-cs"/>
            </a:rPr>
            <a:t>D</a:t>
          </a:r>
          <a:r>
            <a:rPr lang="en-AU" sz="1100" b="0" i="0">
              <a:solidFill>
                <a:schemeClr val="lt1"/>
              </a:solidFill>
              <a:effectLst/>
              <a:latin typeface="+mn-lt"/>
              <a:ea typeface="+mn-ea"/>
              <a:cs typeface="+mn-cs"/>
            </a:rPr>
            <a:t>ivision,  </a:t>
          </a:r>
        </a:p>
        <a:p>
          <a:pPr algn="l"/>
          <a:r>
            <a:rPr lang="en-AU" sz="1100" b="1" i="0">
              <a:solidFill>
                <a:schemeClr val="lt1"/>
              </a:solidFill>
              <a:effectLst/>
              <a:latin typeface="+mn-lt"/>
              <a:ea typeface="+mn-ea"/>
              <a:cs typeface="+mn-cs"/>
            </a:rPr>
            <a:t>A</a:t>
          </a:r>
          <a:r>
            <a:rPr lang="en-AU" sz="1100" b="0" i="0">
              <a:solidFill>
                <a:schemeClr val="lt1"/>
              </a:solidFill>
              <a:effectLst/>
              <a:latin typeface="+mn-lt"/>
              <a:ea typeface="+mn-ea"/>
              <a:cs typeface="+mn-cs"/>
            </a:rPr>
            <a:t>ddition and </a:t>
          </a:r>
        </a:p>
        <a:p>
          <a:pPr algn="l"/>
          <a:r>
            <a:rPr lang="en-AU" sz="1100" b="1" i="0">
              <a:solidFill>
                <a:schemeClr val="lt1"/>
              </a:solidFill>
              <a:effectLst/>
              <a:latin typeface="+mn-lt"/>
              <a:ea typeface="+mn-ea"/>
              <a:cs typeface="+mn-cs"/>
            </a:rPr>
            <a:t>S</a:t>
          </a:r>
          <a:r>
            <a:rPr lang="en-AU" sz="1100" b="0" i="0">
              <a:solidFill>
                <a:schemeClr val="lt1"/>
              </a:solidFill>
              <a:effectLst/>
              <a:latin typeface="+mn-lt"/>
              <a:ea typeface="+mn-ea"/>
              <a:cs typeface="+mn-cs"/>
            </a:rPr>
            <a:t>ubtraction</a:t>
          </a:r>
        </a:p>
        <a:p>
          <a:pPr algn="l"/>
          <a:endParaRPr lang="en-AU" sz="1100" b="0" i="0">
            <a:solidFill>
              <a:schemeClr val="lt1"/>
            </a:solidFill>
            <a:effectLst/>
            <a:latin typeface="+mn-lt"/>
            <a:ea typeface="+mn-ea"/>
            <a:cs typeface="+mn-cs"/>
          </a:endParaRPr>
        </a:p>
        <a:p>
          <a:pPr algn="l"/>
          <a:r>
            <a:rPr lang="en-AU" sz="1100" b="0" i="0">
              <a:solidFill>
                <a:schemeClr val="lt1"/>
              </a:solidFill>
              <a:effectLst/>
              <a:latin typeface="+mn-lt"/>
              <a:ea typeface="+mn-ea"/>
              <a:cs typeface="+mn-cs"/>
            </a:rPr>
            <a:t>To remember the order, use the PEMDAS acronym.</a:t>
          </a:r>
          <a:endParaRPr lang="en-AU" sz="1100" kern="1200"/>
        </a:p>
      </xdr:txBody>
    </xdr:sp>
    <xdr:clientData/>
  </xdr:twoCellAnchor>
  <xdr:twoCellAnchor editAs="absolute">
    <xdr:from>
      <xdr:col>5</xdr:col>
      <xdr:colOff>923925</xdr:colOff>
      <xdr:row>0</xdr:row>
      <xdr:rowOff>200025</xdr:rowOff>
    </xdr:from>
    <xdr:to>
      <xdr:col>7</xdr:col>
      <xdr:colOff>266700</xdr:colOff>
      <xdr:row>0</xdr:row>
      <xdr:rowOff>495300</xdr:rowOff>
    </xdr:to>
    <xdr:grpSp>
      <xdr:nvGrpSpPr>
        <xdr:cNvPr id="2" name="Group 1">
          <a:hlinkClick xmlns:r="http://schemas.openxmlformats.org/officeDocument/2006/relationships" r:id="rId3"/>
          <a:extLst>
            <a:ext uri="{FF2B5EF4-FFF2-40B4-BE49-F238E27FC236}">
              <a16:creationId xmlns:a16="http://schemas.microsoft.com/office/drawing/2014/main" id="{8FADC8FB-5E38-49AD-9CD3-50FDC7B5805B}"/>
            </a:ext>
          </a:extLst>
        </xdr:cNvPr>
        <xdr:cNvGrpSpPr/>
      </xdr:nvGrpSpPr>
      <xdr:grpSpPr>
        <a:xfrm>
          <a:off x="5297805" y="200025"/>
          <a:ext cx="1217295" cy="295275"/>
          <a:chOff x="4486275" y="142875"/>
          <a:chExt cx="1162050" cy="295275"/>
        </a:xfrm>
      </xdr:grpSpPr>
      <xdr:sp macro="" textlink="">
        <xdr:nvSpPr>
          <xdr:cNvPr id="3" name="Rectangle: Rounded Corners 2">
            <a:extLst>
              <a:ext uri="{FF2B5EF4-FFF2-40B4-BE49-F238E27FC236}">
                <a16:creationId xmlns:a16="http://schemas.microsoft.com/office/drawing/2014/main" id="{72C109CE-2002-BF60-46E2-C2DBEA95CE30}"/>
              </a:ext>
            </a:extLst>
          </xdr:cNvPr>
          <xdr:cNvSpPr/>
        </xdr:nvSpPr>
        <xdr:spPr>
          <a:xfrm>
            <a:off x="4486275" y="142875"/>
            <a:ext cx="1162050"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read tutorial</a:t>
            </a:r>
          </a:p>
        </xdr:txBody>
      </xdr:sp>
      <xdr:pic>
        <xdr:nvPicPr>
          <xdr:cNvPr id="4" name="Graphic 3" descr="Document">
            <a:extLst>
              <a:ext uri="{FF2B5EF4-FFF2-40B4-BE49-F238E27FC236}">
                <a16:creationId xmlns:a16="http://schemas.microsoft.com/office/drawing/2014/main" id="{F0712354-A4FA-8CED-1312-3CE1A123A33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5391149" y="171449"/>
            <a:ext cx="238126" cy="238126"/>
          </a:xfrm>
          <a:prstGeom prst="rect">
            <a:avLst/>
          </a:prstGeom>
        </xdr:spPr>
      </xdr:pic>
    </xdr:grpSp>
    <xdr:clientData/>
  </xdr:twoCellAnchor>
  <xdr:twoCellAnchor editAs="absolute">
    <xdr:from>
      <xdr:col>7</xdr:col>
      <xdr:colOff>409574</xdr:colOff>
      <xdr:row>0</xdr:row>
      <xdr:rowOff>200025</xdr:rowOff>
    </xdr:from>
    <xdr:to>
      <xdr:col>9</xdr:col>
      <xdr:colOff>285749</xdr:colOff>
      <xdr:row>0</xdr:row>
      <xdr:rowOff>495300</xdr:rowOff>
    </xdr:to>
    <xdr:grpSp>
      <xdr:nvGrpSpPr>
        <xdr:cNvPr id="5" name="Group 4">
          <a:hlinkClick xmlns:r="http://schemas.openxmlformats.org/officeDocument/2006/relationships" r:id="rId6"/>
          <a:extLst>
            <a:ext uri="{FF2B5EF4-FFF2-40B4-BE49-F238E27FC236}">
              <a16:creationId xmlns:a16="http://schemas.microsoft.com/office/drawing/2014/main" id="{E5BB851D-4E60-481C-8E00-ED2956CF427F}"/>
            </a:ext>
          </a:extLst>
        </xdr:cNvPr>
        <xdr:cNvGrpSpPr/>
      </xdr:nvGrpSpPr>
      <xdr:grpSpPr>
        <a:xfrm>
          <a:off x="6657974" y="200025"/>
          <a:ext cx="1407795" cy="295275"/>
          <a:chOff x="5400674" y="152400"/>
          <a:chExt cx="1362075" cy="295275"/>
        </a:xfrm>
      </xdr:grpSpPr>
      <xdr:sp macro="" textlink="">
        <xdr:nvSpPr>
          <xdr:cNvPr id="6" name="Rectangle: Rounded Corners 5">
            <a:extLst>
              <a:ext uri="{FF2B5EF4-FFF2-40B4-BE49-F238E27FC236}">
                <a16:creationId xmlns:a16="http://schemas.microsoft.com/office/drawing/2014/main" id="{51BCD75B-2B3F-4921-E8E7-702D06B5BF31}"/>
              </a:ext>
            </a:extLst>
          </xdr:cNvPr>
          <xdr:cNvSpPr/>
        </xdr:nvSpPr>
        <xdr:spPr>
          <a:xfrm>
            <a:off x="5400674" y="152400"/>
            <a:ext cx="1362075"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watch tutorial</a:t>
            </a:r>
          </a:p>
        </xdr:txBody>
      </xdr:sp>
      <xdr:grpSp>
        <xdr:nvGrpSpPr>
          <xdr:cNvPr id="7" name="Group 6">
            <a:extLst>
              <a:ext uri="{FF2B5EF4-FFF2-40B4-BE49-F238E27FC236}">
                <a16:creationId xmlns:a16="http://schemas.microsoft.com/office/drawing/2014/main" id="{F6A8BAFE-2B3B-9E50-0CD8-8A4AEAFA485E}"/>
              </a:ext>
            </a:extLst>
          </xdr:cNvPr>
          <xdr:cNvGrpSpPr/>
        </xdr:nvGrpSpPr>
        <xdr:grpSpPr>
          <a:xfrm>
            <a:off x="6419850" y="200025"/>
            <a:ext cx="280427" cy="200025"/>
            <a:chOff x="5495924" y="2943225"/>
            <a:chExt cx="1362075" cy="971550"/>
          </a:xfrm>
        </xdr:grpSpPr>
        <xdr:sp macro="" textlink="">
          <xdr:nvSpPr>
            <xdr:cNvPr id="8" name="Rectangle: Rounded Corners 7">
              <a:extLst>
                <a:ext uri="{FF2B5EF4-FFF2-40B4-BE49-F238E27FC236}">
                  <a16:creationId xmlns:a16="http://schemas.microsoft.com/office/drawing/2014/main" id="{54141A1D-0629-A785-1FC1-9C98EC998CB0}"/>
                </a:ext>
              </a:extLst>
            </xdr:cNvPr>
            <xdr:cNvSpPr/>
          </xdr:nvSpPr>
          <xdr:spPr>
            <a:xfrm>
              <a:off x="5495924" y="2943225"/>
              <a:ext cx="1362075" cy="971550"/>
            </a:xfrm>
            <a:prstGeom prst="roundRect">
              <a:avLst>
                <a:gd name="adj" fmla="val 23738"/>
              </a:avLst>
            </a:prstGeom>
            <a:solidFill>
              <a:srgbClr val="FF0000">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9" name="Isosceles Triangle 8">
              <a:extLst>
                <a:ext uri="{FF2B5EF4-FFF2-40B4-BE49-F238E27FC236}">
                  <a16:creationId xmlns:a16="http://schemas.microsoft.com/office/drawing/2014/main" id="{675056A9-ECAE-5228-9B31-2C7211652D6C}"/>
                </a:ext>
              </a:extLst>
            </xdr:cNvPr>
            <xdr:cNvSpPr/>
          </xdr:nvSpPr>
          <xdr:spPr>
            <a:xfrm rot="5400000">
              <a:off x="5960961" y="3267000"/>
              <a:ext cx="432000" cy="3240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9</xdr:col>
      <xdr:colOff>418947</xdr:colOff>
      <xdr:row>0</xdr:row>
      <xdr:rowOff>57151</xdr:rowOff>
    </xdr:from>
    <xdr:to>
      <xdr:col>14</xdr:col>
      <xdr:colOff>1028699</xdr:colOff>
      <xdr:row>0</xdr:row>
      <xdr:rowOff>561975</xdr:rowOff>
    </xdr:to>
    <xdr:pic>
      <xdr:nvPicPr>
        <xdr:cNvPr id="10" name="my-online-training-hub-logo-2">
          <a:extLst>
            <a:ext uri="{FF2B5EF4-FFF2-40B4-BE49-F238E27FC236}">
              <a16:creationId xmlns:a16="http://schemas.microsoft.com/office/drawing/2014/main" id="{9A348924-E8DB-4CA9-AD93-8A54935308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029422" y="57151"/>
          <a:ext cx="3705377" cy="504824"/>
        </a:xfrm>
        <a:prstGeom prst="rect">
          <a:avLst/>
        </a:prstGeom>
      </xdr:spPr>
    </xdr:pic>
    <xdr:clientData/>
  </xdr:twoCellAnchor>
  <xdr:twoCellAnchor>
    <xdr:from>
      <xdr:col>10</xdr:col>
      <xdr:colOff>438150</xdr:colOff>
      <xdr:row>4</xdr:row>
      <xdr:rowOff>123825</xdr:rowOff>
    </xdr:from>
    <xdr:to>
      <xdr:col>14</xdr:col>
      <xdr:colOff>152400</xdr:colOff>
      <xdr:row>7</xdr:row>
      <xdr:rowOff>28575</xdr:rowOff>
    </xdr:to>
    <xdr:grpSp>
      <xdr:nvGrpSpPr>
        <xdr:cNvPr id="5" name="Group 4">
          <a:hlinkClick xmlns:r="http://schemas.openxmlformats.org/officeDocument/2006/relationships" r:id="rId3"/>
          <a:extLst>
            <a:ext uri="{FF2B5EF4-FFF2-40B4-BE49-F238E27FC236}">
              <a16:creationId xmlns:a16="http://schemas.microsoft.com/office/drawing/2014/main" id="{D3032263-D30A-1EB2-A78E-983F51E1437D}"/>
            </a:ext>
          </a:extLst>
        </xdr:cNvPr>
        <xdr:cNvGrpSpPr/>
      </xdr:nvGrpSpPr>
      <xdr:grpSpPr>
        <a:xfrm>
          <a:off x="8911590" y="1381125"/>
          <a:ext cx="2274570" cy="544830"/>
          <a:chOff x="9220200" y="1371600"/>
          <a:chExt cx="2190750" cy="533400"/>
        </a:xfrm>
      </xdr:grpSpPr>
      <xdr:sp macro="" textlink="">
        <xdr:nvSpPr>
          <xdr:cNvPr id="2" name="Rectangle: Rounded Corners 1">
            <a:extLst>
              <a:ext uri="{FF2B5EF4-FFF2-40B4-BE49-F238E27FC236}">
                <a16:creationId xmlns:a16="http://schemas.microsoft.com/office/drawing/2014/main" id="{41905303-24EE-6BD5-AA03-1C0D66AC73AB}"/>
              </a:ext>
            </a:extLst>
          </xdr:cNvPr>
          <xdr:cNvSpPr/>
        </xdr:nvSpPr>
        <xdr:spPr>
          <a:xfrm>
            <a:off x="9220200" y="1371600"/>
            <a:ext cx="2190750" cy="533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AU" sz="1100" kern="1200"/>
              <a:t>Learn COUNT, COUNTA</a:t>
            </a:r>
            <a:r>
              <a:rPr lang="en-AU" sz="1100" kern="1200" baseline="0"/>
              <a:t> &amp; COUNTBLANK FUNCTIONS</a:t>
            </a:r>
            <a:endParaRPr lang="en-AU" sz="1100" kern="1200"/>
          </a:p>
        </xdr:txBody>
      </xdr:sp>
      <xdr:pic>
        <xdr:nvPicPr>
          <xdr:cNvPr id="4" name="Graphic 3" descr="Abacus outline">
            <a:extLst>
              <a:ext uri="{FF2B5EF4-FFF2-40B4-BE49-F238E27FC236}">
                <a16:creationId xmlns:a16="http://schemas.microsoft.com/office/drawing/2014/main" id="{71388A35-F828-5F2E-5748-A61143E5BAC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277351" y="1409700"/>
            <a:ext cx="457200" cy="457200"/>
          </a:xfrm>
          <a:prstGeom prst="rect">
            <a:avLst/>
          </a:prstGeom>
        </xdr:spPr>
      </xdr:pic>
    </xdr:grpSp>
    <xdr:clientData/>
  </xdr:twoCellAnchor>
  <xdr:twoCellAnchor>
    <xdr:from>
      <xdr:col>10</xdr:col>
      <xdr:colOff>438150</xdr:colOff>
      <xdr:row>16</xdr:row>
      <xdr:rowOff>47625</xdr:rowOff>
    </xdr:from>
    <xdr:to>
      <xdr:col>14</xdr:col>
      <xdr:colOff>152400</xdr:colOff>
      <xdr:row>18</xdr:row>
      <xdr:rowOff>161925</xdr:rowOff>
    </xdr:to>
    <xdr:grpSp>
      <xdr:nvGrpSpPr>
        <xdr:cNvPr id="9" name="Group 8">
          <a:hlinkClick xmlns:r="http://schemas.openxmlformats.org/officeDocument/2006/relationships" r:id="rId6"/>
          <a:extLst>
            <a:ext uri="{FF2B5EF4-FFF2-40B4-BE49-F238E27FC236}">
              <a16:creationId xmlns:a16="http://schemas.microsoft.com/office/drawing/2014/main" id="{C75EB414-04C8-4BF0-293F-21845AEDE302}"/>
            </a:ext>
          </a:extLst>
        </xdr:cNvPr>
        <xdr:cNvGrpSpPr/>
      </xdr:nvGrpSpPr>
      <xdr:grpSpPr>
        <a:xfrm>
          <a:off x="8911590" y="3865245"/>
          <a:ext cx="2274570" cy="541020"/>
          <a:chOff x="8667750" y="3810000"/>
          <a:chExt cx="2190750" cy="533400"/>
        </a:xfrm>
      </xdr:grpSpPr>
      <xdr:sp macro="" textlink="">
        <xdr:nvSpPr>
          <xdr:cNvPr id="7" name="Rectangle: Rounded Corners 6">
            <a:extLst>
              <a:ext uri="{FF2B5EF4-FFF2-40B4-BE49-F238E27FC236}">
                <a16:creationId xmlns:a16="http://schemas.microsoft.com/office/drawing/2014/main" id="{D8698971-C05C-9F5B-6A73-0242F7A5E766}"/>
              </a:ext>
            </a:extLst>
          </xdr:cNvPr>
          <xdr:cNvSpPr/>
        </xdr:nvSpPr>
        <xdr:spPr>
          <a:xfrm>
            <a:off x="8667750" y="3810000"/>
            <a:ext cx="2190750" cy="533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AU" sz="1100" kern="1200"/>
              <a:t>Learn COUNTIF &amp;</a:t>
            </a:r>
          </a:p>
          <a:p>
            <a:pPr algn="r"/>
            <a:r>
              <a:rPr lang="en-AU" sz="1100" kern="1200"/>
              <a:t>COUNTIFS </a:t>
            </a:r>
            <a:r>
              <a:rPr lang="en-AU" sz="1100" kern="1200" baseline="0"/>
              <a:t>FUNCTIONS</a:t>
            </a:r>
            <a:endParaRPr lang="en-AU" sz="1100" kern="1200"/>
          </a:p>
        </xdr:txBody>
      </xdr:sp>
      <xdr:pic>
        <xdr:nvPicPr>
          <xdr:cNvPr id="8" name="Graphic 7" descr="Abacus outline">
            <a:extLst>
              <a:ext uri="{FF2B5EF4-FFF2-40B4-BE49-F238E27FC236}">
                <a16:creationId xmlns:a16="http://schemas.microsoft.com/office/drawing/2014/main" id="{FBCAFCE0-750F-E9E0-5C8A-A5880AAD6AB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724901" y="3848100"/>
            <a:ext cx="457200" cy="457200"/>
          </a:xfrm>
          <a:prstGeom prst="rect">
            <a:avLst/>
          </a:prstGeom>
        </xdr:spPr>
      </xdr:pic>
    </xdr:grpSp>
    <xdr:clientData/>
  </xdr:twoCellAnchor>
  <xdr:twoCellAnchor editAs="absolute">
    <xdr:from>
      <xdr:col>3</xdr:col>
      <xdr:colOff>1876425</xdr:colOff>
      <xdr:row>0</xdr:row>
      <xdr:rowOff>171450</xdr:rowOff>
    </xdr:from>
    <xdr:to>
      <xdr:col>6</xdr:col>
      <xdr:colOff>85725</xdr:colOff>
      <xdr:row>0</xdr:row>
      <xdr:rowOff>466725</xdr:rowOff>
    </xdr:to>
    <xdr:grpSp>
      <xdr:nvGrpSpPr>
        <xdr:cNvPr id="3" name="Group 2">
          <a:hlinkClick xmlns:r="http://schemas.openxmlformats.org/officeDocument/2006/relationships" r:id="rId7"/>
          <a:extLst>
            <a:ext uri="{FF2B5EF4-FFF2-40B4-BE49-F238E27FC236}">
              <a16:creationId xmlns:a16="http://schemas.microsoft.com/office/drawing/2014/main" id="{14CF8EC9-6EE7-454F-BDD0-588D50406BBC}"/>
            </a:ext>
          </a:extLst>
        </xdr:cNvPr>
        <xdr:cNvGrpSpPr/>
      </xdr:nvGrpSpPr>
      <xdr:grpSpPr>
        <a:xfrm>
          <a:off x="4154805" y="171450"/>
          <a:ext cx="1242060" cy="295275"/>
          <a:chOff x="4486275" y="142875"/>
          <a:chExt cx="1162050" cy="295275"/>
        </a:xfrm>
      </xdr:grpSpPr>
      <xdr:sp macro="" textlink="">
        <xdr:nvSpPr>
          <xdr:cNvPr id="6" name="Rectangle: Rounded Corners 5">
            <a:extLst>
              <a:ext uri="{FF2B5EF4-FFF2-40B4-BE49-F238E27FC236}">
                <a16:creationId xmlns:a16="http://schemas.microsoft.com/office/drawing/2014/main" id="{E20FA427-E534-6D30-C039-D711477F6640}"/>
              </a:ext>
            </a:extLst>
          </xdr:cNvPr>
          <xdr:cNvSpPr/>
        </xdr:nvSpPr>
        <xdr:spPr>
          <a:xfrm>
            <a:off x="4486275" y="142875"/>
            <a:ext cx="1162050"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read tutorial</a:t>
            </a:r>
          </a:p>
        </xdr:txBody>
      </xdr:sp>
      <xdr:pic>
        <xdr:nvPicPr>
          <xdr:cNvPr id="11" name="Graphic 10" descr="Document">
            <a:extLst>
              <a:ext uri="{FF2B5EF4-FFF2-40B4-BE49-F238E27FC236}">
                <a16:creationId xmlns:a16="http://schemas.microsoft.com/office/drawing/2014/main" id="{6BCF9DC5-5A90-4DA5-4DA8-6F04E468C0E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5391149" y="171449"/>
            <a:ext cx="238126" cy="238126"/>
          </a:xfrm>
          <a:prstGeom prst="rect">
            <a:avLst/>
          </a:prstGeom>
        </xdr:spPr>
      </xdr:pic>
    </xdr:grpSp>
    <xdr:clientData/>
  </xdr:twoCellAnchor>
  <xdr:twoCellAnchor editAs="absolute">
    <xdr:from>
      <xdr:col>6</xdr:col>
      <xdr:colOff>228599</xdr:colOff>
      <xdr:row>0</xdr:row>
      <xdr:rowOff>171450</xdr:rowOff>
    </xdr:from>
    <xdr:to>
      <xdr:col>7</xdr:col>
      <xdr:colOff>600074</xdr:colOff>
      <xdr:row>0</xdr:row>
      <xdr:rowOff>466725</xdr:rowOff>
    </xdr:to>
    <xdr:grpSp>
      <xdr:nvGrpSpPr>
        <xdr:cNvPr id="12" name="Group 11">
          <a:hlinkClick xmlns:r="http://schemas.openxmlformats.org/officeDocument/2006/relationships" r:id="rId10"/>
          <a:extLst>
            <a:ext uri="{FF2B5EF4-FFF2-40B4-BE49-F238E27FC236}">
              <a16:creationId xmlns:a16="http://schemas.microsoft.com/office/drawing/2014/main" id="{6561CE80-CF2E-4B75-901B-BFD3A5404287}"/>
            </a:ext>
          </a:extLst>
        </xdr:cNvPr>
        <xdr:cNvGrpSpPr/>
      </xdr:nvGrpSpPr>
      <xdr:grpSpPr>
        <a:xfrm>
          <a:off x="5539739" y="171450"/>
          <a:ext cx="1392555" cy="295275"/>
          <a:chOff x="5400674" y="152400"/>
          <a:chExt cx="1362075" cy="295275"/>
        </a:xfrm>
      </xdr:grpSpPr>
      <xdr:sp macro="" textlink="">
        <xdr:nvSpPr>
          <xdr:cNvPr id="13" name="Rectangle: Rounded Corners 12">
            <a:extLst>
              <a:ext uri="{FF2B5EF4-FFF2-40B4-BE49-F238E27FC236}">
                <a16:creationId xmlns:a16="http://schemas.microsoft.com/office/drawing/2014/main" id="{A47E7D1D-012A-1FA9-0B23-BF3DF2ACBF2D}"/>
              </a:ext>
            </a:extLst>
          </xdr:cNvPr>
          <xdr:cNvSpPr/>
        </xdr:nvSpPr>
        <xdr:spPr>
          <a:xfrm>
            <a:off x="5400674" y="152400"/>
            <a:ext cx="1362075"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watch tutorial</a:t>
            </a:r>
          </a:p>
        </xdr:txBody>
      </xdr:sp>
      <xdr:grpSp>
        <xdr:nvGrpSpPr>
          <xdr:cNvPr id="14" name="Group 13">
            <a:extLst>
              <a:ext uri="{FF2B5EF4-FFF2-40B4-BE49-F238E27FC236}">
                <a16:creationId xmlns:a16="http://schemas.microsoft.com/office/drawing/2014/main" id="{23460DDA-5417-50B1-8B50-AB0C7E31FF42}"/>
              </a:ext>
            </a:extLst>
          </xdr:cNvPr>
          <xdr:cNvGrpSpPr/>
        </xdr:nvGrpSpPr>
        <xdr:grpSpPr>
          <a:xfrm>
            <a:off x="6419850" y="200025"/>
            <a:ext cx="280427" cy="200025"/>
            <a:chOff x="5495924" y="2943225"/>
            <a:chExt cx="1362075" cy="971550"/>
          </a:xfrm>
        </xdr:grpSpPr>
        <xdr:sp macro="" textlink="">
          <xdr:nvSpPr>
            <xdr:cNvPr id="15" name="Rectangle: Rounded Corners 14">
              <a:extLst>
                <a:ext uri="{FF2B5EF4-FFF2-40B4-BE49-F238E27FC236}">
                  <a16:creationId xmlns:a16="http://schemas.microsoft.com/office/drawing/2014/main" id="{FA9D8832-860A-2E2C-217D-3D5E253E6B5B}"/>
                </a:ext>
              </a:extLst>
            </xdr:cNvPr>
            <xdr:cNvSpPr/>
          </xdr:nvSpPr>
          <xdr:spPr>
            <a:xfrm>
              <a:off x="5495924" y="2943225"/>
              <a:ext cx="1362075" cy="971550"/>
            </a:xfrm>
            <a:prstGeom prst="roundRect">
              <a:avLst>
                <a:gd name="adj" fmla="val 23738"/>
              </a:avLst>
            </a:prstGeom>
            <a:solidFill>
              <a:srgbClr val="FF0000">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6" name="Isosceles Triangle 15">
              <a:extLst>
                <a:ext uri="{FF2B5EF4-FFF2-40B4-BE49-F238E27FC236}">
                  <a16:creationId xmlns:a16="http://schemas.microsoft.com/office/drawing/2014/main" id="{6A27E4DD-B523-6403-420E-1176C9B4768F}"/>
                </a:ext>
              </a:extLst>
            </xdr:cNvPr>
            <xdr:cNvSpPr/>
          </xdr:nvSpPr>
          <xdr:spPr>
            <a:xfrm rot="5400000">
              <a:off x="5960961" y="3267000"/>
              <a:ext cx="432000" cy="3240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grpSp>
    <xdr:clientData/>
  </xdr:twoCellAnchor>
</xdr:wsDr>
</file>

<file path=xl/drawings/drawing5.xml><?xml version="1.0" encoding="utf-8"?>
<xdr:wsDr xmlns:xdr="http://schemas.openxmlformats.org/drawingml/2006/spreadsheetDrawing" xmlns:a="http://schemas.openxmlformats.org/drawingml/2006/main">
  <xdr:twoCellAnchor editAs="absolute">
    <xdr:from>
      <xdr:col>9</xdr:col>
      <xdr:colOff>418947</xdr:colOff>
      <xdr:row>0</xdr:row>
      <xdr:rowOff>57151</xdr:rowOff>
    </xdr:from>
    <xdr:to>
      <xdr:col>14</xdr:col>
      <xdr:colOff>1028699</xdr:colOff>
      <xdr:row>0</xdr:row>
      <xdr:rowOff>561975</xdr:rowOff>
    </xdr:to>
    <xdr:pic>
      <xdr:nvPicPr>
        <xdr:cNvPr id="2" name="my-online-training-hub-logo-2">
          <a:extLst>
            <a:ext uri="{FF2B5EF4-FFF2-40B4-BE49-F238E27FC236}">
              <a16:creationId xmlns:a16="http://schemas.microsoft.com/office/drawing/2014/main" id="{B546E26B-E96D-4B9C-95A9-FAA4614DAB3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029422" y="57151"/>
          <a:ext cx="3705377" cy="504824"/>
        </a:xfrm>
        <a:prstGeom prst="rect">
          <a:avLst/>
        </a:prstGeom>
      </xdr:spPr>
    </xdr:pic>
    <xdr:clientData/>
  </xdr:twoCellAnchor>
  <xdr:twoCellAnchor>
    <xdr:from>
      <xdr:col>10</xdr:col>
      <xdr:colOff>371475</xdr:colOff>
      <xdr:row>4</xdr:row>
      <xdr:rowOff>76200</xdr:rowOff>
    </xdr:from>
    <xdr:to>
      <xdr:col>14</xdr:col>
      <xdr:colOff>85725</xdr:colOff>
      <xdr:row>6</xdr:row>
      <xdr:rowOff>190500</xdr:rowOff>
    </xdr:to>
    <xdr:grpSp>
      <xdr:nvGrpSpPr>
        <xdr:cNvPr id="3" name="Group 2">
          <a:hlinkClick xmlns:r="http://schemas.openxmlformats.org/officeDocument/2006/relationships" r:id="rId3"/>
          <a:extLst>
            <a:ext uri="{FF2B5EF4-FFF2-40B4-BE49-F238E27FC236}">
              <a16:creationId xmlns:a16="http://schemas.microsoft.com/office/drawing/2014/main" id="{EB091330-5965-430A-85E4-2C8E0DF58B41}"/>
            </a:ext>
          </a:extLst>
        </xdr:cNvPr>
        <xdr:cNvGrpSpPr/>
      </xdr:nvGrpSpPr>
      <xdr:grpSpPr>
        <a:xfrm>
          <a:off x="8844915" y="1333500"/>
          <a:ext cx="2274570" cy="541020"/>
          <a:chOff x="9220200" y="1371600"/>
          <a:chExt cx="2190750" cy="533400"/>
        </a:xfrm>
      </xdr:grpSpPr>
      <xdr:sp macro="" textlink="">
        <xdr:nvSpPr>
          <xdr:cNvPr id="4" name="Rectangle: Rounded Corners 3">
            <a:extLst>
              <a:ext uri="{FF2B5EF4-FFF2-40B4-BE49-F238E27FC236}">
                <a16:creationId xmlns:a16="http://schemas.microsoft.com/office/drawing/2014/main" id="{FD2F8E7C-37D6-D411-0F19-2B0B7922899F}"/>
              </a:ext>
            </a:extLst>
          </xdr:cNvPr>
          <xdr:cNvSpPr/>
        </xdr:nvSpPr>
        <xdr:spPr>
          <a:xfrm>
            <a:off x="9220200" y="1371600"/>
            <a:ext cx="2190750" cy="533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AU" sz="1100" kern="1200"/>
              <a:t>Learn COUNT, COUNTA</a:t>
            </a:r>
            <a:r>
              <a:rPr lang="en-AU" sz="1100" kern="1200" baseline="0"/>
              <a:t> &amp; COUNTBLANK FUNCTIONS</a:t>
            </a:r>
            <a:endParaRPr lang="en-AU" sz="1100" kern="1200"/>
          </a:p>
        </xdr:txBody>
      </xdr:sp>
      <xdr:pic>
        <xdr:nvPicPr>
          <xdr:cNvPr id="5" name="Graphic 4" descr="Abacus outline">
            <a:extLst>
              <a:ext uri="{FF2B5EF4-FFF2-40B4-BE49-F238E27FC236}">
                <a16:creationId xmlns:a16="http://schemas.microsoft.com/office/drawing/2014/main" id="{09CE991E-12A2-C23B-B6D8-3564635404A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277351" y="1409700"/>
            <a:ext cx="457200" cy="457200"/>
          </a:xfrm>
          <a:prstGeom prst="rect">
            <a:avLst/>
          </a:prstGeom>
        </xdr:spPr>
      </xdr:pic>
    </xdr:grpSp>
    <xdr:clientData/>
  </xdr:twoCellAnchor>
  <xdr:twoCellAnchor>
    <xdr:from>
      <xdr:col>10</xdr:col>
      <xdr:colOff>371475</xdr:colOff>
      <xdr:row>16</xdr:row>
      <xdr:rowOff>0</xdr:rowOff>
    </xdr:from>
    <xdr:to>
      <xdr:col>14</xdr:col>
      <xdr:colOff>85725</xdr:colOff>
      <xdr:row>18</xdr:row>
      <xdr:rowOff>114300</xdr:rowOff>
    </xdr:to>
    <xdr:grpSp>
      <xdr:nvGrpSpPr>
        <xdr:cNvPr id="6" name="Group 5">
          <a:extLst>
            <a:ext uri="{FF2B5EF4-FFF2-40B4-BE49-F238E27FC236}">
              <a16:creationId xmlns:a16="http://schemas.microsoft.com/office/drawing/2014/main" id="{E653FFB5-426E-490F-B1B8-4C6210289BC6}"/>
            </a:ext>
          </a:extLst>
        </xdr:cNvPr>
        <xdr:cNvGrpSpPr/>
      </xdr:nvGrpSpPr>
      <xdr:grpSpPr>
        <a:xfrm>
          <a:off x="8844915" y="3817620"/>
          <a:ext cx="2274570" cy="541020"/>
          <a:chOff x="8667750" y="3810000"/>
          <a:chExt cx="2190750" cy="533400"/>
        </a:xfrm>
      </xdr:grpSpPr>
      <xdr:sp macro="" textlink="">
        <xdr:nvSpPr>
          <xdr:cNvPr id="7" name="Rectangle: Rounded Corners 6">
            <a:extLst>
              <a:ext uri="{FF2B5EF4-FFF2-40B4-BE49-F238E27FC236}">
                <a16:creationId xmlns:a16="http://schemas.microsoft.com/office/drawing/2014/main" id="{54969BC6-940F-9D68-0D83-88CB2D5CB7F4}"/>
              </a:ext>
            </a:extLst>
          </xdr:cNvPr>
          <xdr:cNvSpPr/>
        </xdr:nvSpPr>
        <xdr:spPr>
          <a:xfrm>
            <a:off x="8667750" y="3810000"/>
            <a:ext cx="2190750" cy="533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AU" sz="1100" kern="1200"/>
              <a:t>Learn COUNTIF &amp;</a:t>
            </a:r>
          </a:p>
          <a:p>
            <a:pPr algn="r"/>
            <a:r>
              <a:rPr lang="en-AU" sz="1100" kern="1200"/>
              <a:t>COUNTIFS </a:t>
            </a:r>
            <a:r>
              <a:rPr lang="en-AU" sz="1100" kern="1200" baseline="0"/>
              <a:t>FUNCTIONS</a:t>
            </a:r>
            <a:endParaRPr lang="en-AU" sz="1100" kern="1200"/>
          </a:p>
        </xdr:txBody>
      </xdr:sp>
      <xdr:pic>
        <xdr:nvPicPr>
          <xdr:cNvPr id="8" name="Graphic 7" descr="Abacus outline">
            <a:extLst>
              <a:ext uri="{FF2B5EF4-FFF2-40B4-BE49-F238E27FC236}">
                <a16:creationId xmlns:a16="http://schemas.microsoft.com/office/drawing/2014/main" id="{E8372055-D55F-3D4F-99AD-6D1EDD91A28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724901" y="3848100"/>
            <a:ext cx="457200" cy="457200"/>
          </a:xfrm>
          <a:prstGeom prst="rect">
            <a:avLst/>
          </a:prstGeom>
        </xdr:spPr>
      </xdr:pic>
    </xdr:grpSp>
    <xdr:clientData/>
  </xdr:twoCellAnchor>
  <xdr:twoCellAnchor editAs="absolute">
    <xdr:from>
      <xdr:col>5</xdr:col>
      <xdr:colOff>180975</xdr:colOff>
      <xdr:row>0</xdr:row>
      <xdr:rowOff>161925</xdr:rowOff>
    </xdr:from>
    <xdr:to>
      <xdr:col>6</xdr:col>
      <xdr:colOff>933450</xdr:colOff>
      <xdr:row>0</xdr:row>
      <xdr:rowOff>457200</xdr:rowOff>
    </xdr:to>
    <xdr:grpSp>
      <xdr:nvGrpSpPr>
        <xdr:cNvPr id="9" name="Group 8">
          <a:hlinkClick xmlns:r="http://schemas.openxmlformats.org/officeDocument/2006/relationships" r:id="rId6"/>
          <a:extLst>
            <a:ext uri="{FF2B5EF4-FFF2-40B4-BE49-F238E27FC236}">
              <a16:creationId xmlns:a16="http://schemas.microsoft.com/office/drawing/2014/main" id="{C466A139-EDEA-402E-A34E-DB4DD757324A}"/>
            </a:ext>
          </a:extLst>
        </xdr:cNvPr>
        <xdr:cNvGrpSpPr/>
      </xdr:nvGrpSpPr>
      <xdr:grpSpPr>
        <a:xfrm>
          <a:off x="5073015" y="161925"/>
          <a:ext cx="1171575" cy="295275"/>
          <a:chOff x="4486275" y="142875"/>
          <a:chExt cx="1162050" cy="295275"/>
        </a:xfrm>
      </xdr:grpSpPr>
      <xdr:sp macro="" textlink="">
        <xdr:nvSpPr>
          <xdr:cNvPr id="10" name="Rectangle: Rounded Corners 9">
            <a:extLst>
              <a:ext uri="{FF2B5EF4-FFF2-40B4-BE49-F238E27FC236}">
                <a16:creationId xmlns:a16="http://schemas.microsoft.com/office/drawing/2014/main" id="{140AA425-692B-D5BC-FDB5-8A575AEAB9A4}"/>
              </a:ext>
            </a:extLst>
          </xdr:cNvPr>
          <xdr:cNvSpPr/>
        </xdr:nvSpPr>
        <xdr:spPr>
          <a:xfrm>
            <a:off x="4486275" y="142875"/>
            <a:ext cx="1162050"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read tutorial</a:t>
            </a:r>
          </a:p>
        </xdr:txBody>
      </xdr:sp>
      <xdr:pic>
        <xdr:nvPicPr>
          <xdr:cNvPr id="11" name="Graphic 10" descr="Document">
            <a:extLst>
              <a:ext uri="{FF2B5EF4-FFF2-40B4-BE49-F238E27FC236}">
                <a16:creationId xmlns:a16="http://schemas.microsoft.com/office/drawing/2014/main" id="{59DA5867-9382-8ACB-35CD-D54C8439D95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5391149" y="171449"/>
            <a:ext cx="238126" cy="238126"/>
          </a:xfrm>
          <a:prstGeom prst="rect">
            <a:avLst/>
          </a:prstGeom>
        </xdr:spPr>
      </xdr:pic>
    </xdr:grpSp>
    <xdr:clientData/>
  </xdr:twoCellAnchor>
  <xdr:twoCellAnchor editAs="absolute">
    <xdr:from>
      <xdr:col>7</xdr:col>
      <xdr:colOff>85724</xdr:colOff>
      <xdr:row>0</xdr:row>
      <xdr:rowOff>161925</xdr:rowOff>
    </xdr:from>
    <xdr:to>
      <xdr:col>8</xdr:col>
      <xdr:colOff>657224</xdr:colOff>
      <xdr:row>0</xdr:row>
      <xdr:rowOff>457200</xdr:rowOff>
    </xdr:to>
    <xdr:grpSp>
      <xdr:nvGrpSpPr>
        <xdr:cNvPr id="12" name="Group 11">
          <a:hlinkClick xmlns:r="http://schemas.openxmlformats.org/officeDocument/2006/relationships" r:id="rId9"/>
          <a:extLst>
            <a:ext uri="{FF2B5EF4-FFF2-40B4-BE49-F238E27FC236}">
              <a16:creationId xmlns:a16="http://schemas.microsoft.com/office/drawing/2014/main" id="{56C14741-E6EB-4AEB-B1B1-5A45B432FC1A}"/>
            </a:ext>
          </a:extLst>
        </xdr:cNvPr>
        <xdr:cNvGrpSpPr/>
      </xdr:nvGrpSpPr>
      <xdr:grpSpPr>
        <a:xfrm>
          <a:off x="6417944" y="161925"/>
          <a:ext cx="1386840" cy="295275"/>
          <a:chOff x="5400674" y="152400"/>
          <a:chExt cx="1362075" cy="295275"/>
        </a:xfrm>
      </xdr:grpSpPr>
      <xdr:sp macro="" textlink="">
        <xdr:nvSpPr>
          <xdr:cNvPr id="13" name="Rectangle: Rounded Corners 12">
            <a:extLst>
              <a:ext uri="{FF2B5EF4-FFF2-40B4-BE49-F238E27FC236}">
                <a16:creationId xmlns:a16="http://schemas.microsoft.com/office/drawing/2014/main" id="{CC0C9256-8ED7-1E03-EEE2-0641E3188402}"/>
              </a:ext>
            </a:extLst>
          </xdr:cNvPr>
          <xdr:cNvSpPr/>
        </xdr:nvSpPr>
        <xdr:spPr>
          <a:xfrm>
            <a:off x="5400674" y="152400"/>
            <a:ext cx="1362075"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watch tutorial</a:t>
            </a:r>
          </a:p>
        </xdr:txBody>
      </xdr:sp>
      <xdr:grpSp>
        <xdr:nvGrpSpPr>
          <xdr:cNvPr id="14" name="Group 13">
            <a:extLst>
              <a:ext uri="{FF2B5EF4-FFF2-40B4-BE49-F238E27FC236}">
                <a16:creationId xmlns:a16="http://schemas.microsoft.com/office/drawing/2014/main" id="{2FCA1140-2FD7-A3A5-41C4-4F298095B30E}"/>
              </a:ext>
            </a:extLst>
          </xdr:cNvPr>
          <xdr:cNvGrpSpPr/>
        </xdr:nvGrpSpPr>
        <xdr:grpSpPr>
          <a:xfrm>
            <a:off x="6419850" y="200025"/>
            <a:ext cx="280427" cy="200025"/>
            <a:chOff x="5495924" y="2943225"/>
            <a:chExt cx="1362075" cy="971550"/>
          </a:xfrm>
        </xdr:grpSpPr>
        <xdr:sp macro="" textlink="">
          <xdr:nvSpPr>
            <xdr:cNvPr id="15" name="Rectangle: Rounded Corners 14">
              <a:extLst>
                <a:ext uri="{FF2B5EF4-FFF2-40B4-BE49-F238E27FC236}">
                  <a16:creationId xmlns:a16="http://schemas.microsoft.com/office/drawing/2014/main" id="{40C7D79E-E19C-AE39-20AE-FE783B30BE72}"/>
                </a:ext>
              </a:extLst>
            </xdr:cNvPr>
            <xdr:cNvSpPr/>
          </xdr:nvSpPr>
          <xdr:spPr>
            <a:xfrm>
              <a:off x="5495924" y="2943225"/>
              <a:ext cx="1362075" cy="971550"/>
            </a:xfrm>
            <a:prstGeom prst="roundRect">
              <a:avLst>
                <a:gd name="adj" fmla="val 23738"/>
              </a:avLst>
            </a:prstGeom>
            <a:solidFill>
              <a:srgbClr val="FF0000">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6" name="Isosceles Triangle 15">
              <a:extLst>
                <a:ext uri="{FF2B5EF4-FFF2-40B4-BE49-F238E27FC236}">
                  <a16:creationId xmlns:a16="http://schemas.microsoft.com/office/drawing/2014/main" id="{43415942-766A-59D5-6FE5-53B3385592CC}"/>
                </a:ext>
              </a:extLst>
            </xdr:cNvPr>
            <xdr:cNvSpPr/>
          </xdr:nvSpPr>
          <xdr:spPr>
            <a:xfrm rot="5400000">
              <a:off x="5960961" y="3267000"/>
              <a:ext cx="432000" cy="3240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grpSp>
    <xdr:clientData/>
  </xdr:twoCellAnchor>
</xdr:wsDr>
</file>

<file path=xl/drawings/drawing6.xml><?xml version="1.0" encoding="utf-8"?>
<xdr:wsDr xmlns:xdr="http://schemas.openxmlformats.org/drawingml/2006/spreadsheetDrawing" xmlns:a="http://schemas.openxmlformats.org/drawingml/2006/main">
  <xdr:twoCellAnchor editAs="absolute">
    <xdr:from>
      <xdr:col>7</xdr:col>
      <xdr:colOff>876147</xdr:colOff>
      <xdr:row>0</xdr:row>
      <xdr:rowOff>57151</xdr:rowOff>
    </xdr:from>
    <xdr:to>
      <xdr:col>13</xdr:col>
      <xdr:colOff>238124</xdr:colOff>
      <xdr:row>0</xdr:row>
      <xdr:rowOff>561975</xdr:rowOff>
    </xdr:to>
    <xdr:pic>
      <xdr:nvPicPr>
        <xdr:cNvPr id="2" name="my-online-training-hub-logo-2">
          <a:extLst>
            <a:ext uri="{FF2B5EF4-FFF2-40B4-BE49-F238E27FC236}">
              <a16:creationId xmlns:a16="http://schemas.microsoft.com/office/drawing/2014/main" id="{6C551EA6-4BDB-47B5-8FF9-21F81A4A97D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029422" y="57151"/>
          <a:ext cx="3705377" cy="504824"/>
        </a:xfrm>
        <a:prstGeom prst="rect">
          <a:avLst/>
        </a:prstGeom>
      </xdr:spPr>
    </xdr:pic>
    <xdr:clientData/>
  </xdr:twoCellAnchor>
  <xdr:twoCellAnchor>
    <xdr:from>
      <xdr:col>8</xdr:col>
      <xdr:colOff>733425</xdr:colOff>
      <xdr:row>2</xdr:row>
      <xdr:rowOff>152400</xdr:rowOff>
    </xdr:from>
    <xdr:to>
      <xdr:col>12</xdr:col>
      <xdr:colOff>228600</xdr:colOff>
      <xdr:row>4</xdr:row>
      <xdr:rowOff>47625</xdr:rowOff>
    </xdr:to>
    <xdr:grpSp>
      <xdr:nvGrpSpPr>
        <xdr:cNvPr id="8" name="Group 7">
          <a:hlinkClick xmlns:r="http://schemas.openxmlformats.org/officeDocument/2006/relationships" r:id="rId3"/>
          <a:extLst>
            <a:ext uri="{FF2B5EF4-FFF2-40B4-BE49-F238E27FC236}">
              <a16:creationId xmlns:a16="http://schemas.microsoft.com/office/drawing/2014/main" id="{594E3159-7047-3F1C-250B-4F0C98B9B10B}"/>
            </a:ext>
          </a:extLst>
        </xdr:cNvPr>
        <xdr:cNvGrpSpPr/>
      </xdr:nvGrpSpPr>
      <xdr:grpSpPr>
        <a:xfrm>
          <a:off x="9153525" y="982980"/>
          <a:ext cx="2276475" cy="535305"/>
          <a:chOff x="8919912" y="984584"/>
          <a:chExt cx="2197267" cy="536909"/>
        </a:xfrm>
      </xdr:grpSpPr>
      <xdr:sp macro="" textlink="">
        <xdr:nvSpPr>
          <xdr:cNvPr id="4" name="Rectangle: Rounded Corners 3">
            <a:extLst>
              <a:ext uri="{FF2B5EF4-FFF2-40B4-BE49-F238E27FC236}">
                <a16:creationId xmlns:a16="http://schemas.microsoft.com/office/drawing/2014/main" id="{85AD30DD-9B23-0EAC-745E-7E8C40E68568}"/>
              </a:ext>
            </a:extLst>
          </xdr:cNvPr>
          <xdr:cNvSpPr/>
        </xdr:nvSpPr>
        <xdr:spPr>
          <a:xfrm>
            <a:off x="8919912" y="984584"/>
            <a:ext cx="2197267" cy="5369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AU" sz="1100" kern="1200"/>
              <a:t>Learn IF, IFS,</a:t>
            </a:r>
            <a:r>
              <a:rPr lang="en-AU" sz="1100" kern="1200" baseline="0"/>
              <a:t> Nested IFs,</a:t>
            </a:r>
          </a:p>
          <a:p>
            <a:pPr algn="r"/>
            <a:r>
              <a:rPr lang="en-AU" sz="1100" kern="1200" baseline="0"/>
              <a:t>IF(AND and IF(OF formulas</a:t>
            </a:r>
            <a:endParaRPr lang="en-AU" sz="1100" kern="1200"/>
          </a:p>
        </xdr:txBody>
      </xdr:sp>
      <xdr:pic>
        <xdr:nvPicPr>
          <xdr:cNvPr id="7" name="Graphic 6" descr="Gears with solid fill">
            <a:extLst>
              <a:ext uri="{FF2B5EF4-FFF2-40B4-BE49-F238E27FC236}">
                <a16:creationId xmlns:a16="http://schemas.microsoft.com/office/drawing/2014/main" id="{7709AD68-DA5F-B80A-1705-93F1A68856B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013659" y="1032711"/>
            <a:ext cx="441158" cy="441158"/>
          </a:xfrm>
          <a:prstGeom prst="rect">
            <a:avLst/>
          </a:prstGeom>
        </xdr:spPr>
      </xdr:pic>
    </xdr:grpSp>
    <xdr:clientData/>
  </xdr:twoCellAnchor>
  <xdr:twoCellAnchor editAs="absolute">
    <xdr:from>
      <xdr:col>3</xdr:col>
      <xdr:colOff>1085850</xdr:colOff>
      <xdr:row>0</xdr:row>
      <xdr:rowOff>171450</xdr:rowOff>
    </xdr:from>
    <xdr:to>
      <xdr:col>4</xdr:col>
      <xdr:colOff>1076325</xdr:colOff>
      <xdr:row>0</xdr:row>
      <xdr:rowOff>466725</xdr:rowOff>
    </xdr:to>
    <xdr:grpSp>
      <xdr:nvGrpSpPr>
        <xdr:cNvPr id="3" name="Group 2">
          <a:hlinkClick xmlns:r="http://schemas.openxmlformats.org/officeDocument/2006/relationships" r:id="rId6"/>
          <a:extLst>
            <a:ext uri="{FF2B5EF4-FFF2-40B4-BE49-F238E27FC236}">
              <a16:creationId xmlns:a16="http://schemas.microsoft.com/office/drawing/2014/main" id="{F5A99D60-7E4F-40EA-A153-04FFE8F8A69D}"/>
            </a:ext>
          </a:extLst>
        </xdr:cNvPr>
        <xdr:cNvGrpSpPr/>
      </xdr:nvGrpSpPr>
      <xdr:grpSpPr>
        <a:xfrm>
          <a:off x="3463290" y="171450"/>
          <a:ext cx="1194435" cy="295275"/>
          <a:chOff x="4486275" y="142875"/>
          <a:chExt cx="1162050" cy="295275"/>
        </a:xfrm>
      </xdr:grpSpPr>
      <xdr:sp macro="" textlink="">
        <xdr:nvSpPr>
          <xdr:cNvPr id="5" name="Rectangle: Rounded Corners 4">
            <a:extLst>
              <a:ext uri="{FF2B5EF4-FFF2-40B4-BE49-F238E27FC236}">
                <a16:creationId xmlns:a16="http://schemas.microsoft.com/office/drawing/2014/main" id="{44DC676A-A6C6-5905-1DB1-22C750FE1F7E}"/>
              </a:ext>
            </a:extLst>
          </xdr:cNvPr>
          <xdr:cNvSpPr/>
        </xdr:nvSpPr>
        <xdr:spPr>
          <a:xfrm>
            <a:off x="4486275" y="142875"/>
            <a:ext cx="1162050"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read tutorial</a:t>
            </a:r>
          </a:p>
        </xdr:txBody>
      </xdr:sp>
      <xdr:pic>
        <xdr:nvPicPr>
          <xdr:cNvPr id="6" name="Graphic 5" descr="Document">
            <a:extLst>
              <a:ext uri="{FF2B5EF4-FFF2-40B4-BE49-F238E27FC236}">
                <a16:creationId xmlns:a16="http://schemas.microsoft.com/office/drawing/2014/main" id="{8EF05A46-10E7-2182-BB2E-0C4A7F9C314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5391149" y="171449"/>
            <a:ext cx="238126" cy="238126"/>
          </a:xfrm>
          <a:prstGeom prst="rect">
            <a:avLst/>
          </a:prstGeom>
        </xdr:spPr>
      </xdr:pic>
    </xdr:grpSp>
    <xdr:clientData/>
  </xdr:twoCellAnchor>
  <xdr:twoCellAnchor editAs="absolute">
    <xdr:from>
      <xdr:col>5</xdr:col>
      <xdr:colOff>104774</xdr:colOff>
      <xdr:row>0</xdr:row>
      <xdr:rowOff>171450</xdr:rowOff>
    </xdr:from>
    <xdr:to>
      <xdr:col>6</xdr:col>
      <xdr:colOff>104774</xdr:colOff>
      <xdr:row>0</xdr:row>
      <xdr:rowOff>466725</xdr:rowOff>
    </xdr:to>
    <xdr:grpSp>
      <xdr:nvGrpSpPr>
        <xdr:cNvPr id="9" name="Group 8">
          <a:hlinkClick xmlns:r="http://schemas.openxmlformats.org/officeDocument/2006/relationships" r:id="rId9"/>
          <a:extLst>
            <a:ext uri="{FF2B5EF4-FFF2-40B4-BE49-F238E27FC236}">
              <a16:creationId xmlns:a16="http://schemas.microsoft.com/office/drawing/2014/main" id="{714A8707-2620-445D-8C21-BCAE7115000B}"/>
            </a:ext>
          </a:extLst>
        </xdr:cNvPr>
        <xdr:cNvGrpSpPr/>
      </xdr:nvGrpSpPr>
      <xdr:grpSpPr>
        <a:xfrm>
          <a:off x="4829174" y="171450"/>
          <a:ext cx="1402080" cy="295275"/>
          <a:chOff x="5400674" y="152400"/>
          <a:chExt cx="1362075" cy="295275"/>
        </a:xfrm>
      </xdr:grpSpPr>
      <xdr:sp macro="" textlink="">
        <xdr:nvSpPr>
          <xdr:cNvPr id="10" name="Rectangle: Rounded Corners 9">
            <a:extLst>
              <a:ext uri="{FF2B5EF4-FFF2-40B4-BE49-F238E27FC236}">
                <a16:creationId xmlns:a16="http://schemas.microsoft.com/office/drawing/2014/main" id="{50B119B0-CF9D-08DB-6646-BF8C0AEDDE48}"/>
              </a:ext>
            </a:extLst>
          </xdr:cNvPr>
          <xdr:cNvSpPr/>
        </xdr:nvSpPr>
        <xdr:spPr>
          <a:xfrm>
            <a:off x="5400674" y="152400"/>
            <a:ext cx="1362075"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watch tutorial</a:t>
            </a:r>
          </a:p>
        </xdr:txBody>
      </xdr:sp>
      <xdr:grpSp>
        <xdr:nvGrpSpPr>
          <xdr:cNvPr id="11" name="Group 10">
            <a:extLst>
              <a:ext uri="{FF2B5EF4-FFF2-40B4-BE49-F238E27FC236}">
                <a16:creationId xmlns:a16="http://schemas.microsoft.com/office/drawing/2014/main" id="{252CB6F6-F3A2-9FC0-0AB9-BD1A056B5BA9}"/>
              </a:ext>
            </a:extLst>
          </xdr:cNvPr>
          <xdr:cNvGrpSpPr/>
        </xdr:nvGrpSpPr>
        <xdr:grpSpPr>
          <a:xfrm>
            <a:off x="6419850" y="200025"/>
            <a:ext cx="280427" cy="200025"/>
            <a:chOff x="5495924" y="2943225"/>
            <a:chExt cx="1362075" cy="971550"/>
          </a:xfrm>
        </xdr:grpSpPr>
        <xdr:sp macro="" textlink="">
          <xdr:nvSpPr>
            <xdr:cNvPr id="12" name="Rectangle: Rounded Corners 11">
              <a:extLst>
                <a:ext uri="{FF2B5EF4-FFF2-40B4-BE49-F238E27FC236}">
                  <a16:creationId xmlns:a16="http://schemas.microsoft.com/office/drawing/2014/main" id="{749A3790-F8CF-28B3-1163-00C698473D59}"/>
                </a:ext>
              </a:extLst>
            </xdr:cNvPr>
            <xdr:cNvSpPr/>
          </xdr:nvSpPr>
          <xdr:spPr>
            <a:xfrm>
              <a:off x="5495924" y="2943225"/>
              <a:ext cx="1362075" cy="971550"/>
            </a:xfrm>
            <a:prstGeom prst="roundRect">
              <a:avLst>
                <a:gd name="adj" fmla="val 23738"/>
              </a:avLst>
            </a:prstGeom>
            <a:solidFill>
              <a:srgbClr val="FF0000">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3" name="Isosceles Triangle 12">
              <a:extLst>
                <a:ext uri="{FF2B5EF4-FFF2-40B4-BE49-F238E27FC236}">
                  <a16:creationId xmlns:a16="http://schemas.microsoft.com/office/drawing/2014/main" id="{179ADBCA-A47F-E87D-1ADD-E3C74F19DA65}"/>
                </a:ext>
              </a:extLst>
            </xdr:cNvPr>
            <xdr:cNvSpPr/>
          </xdr:nvSpPr>
          <xdr:spPr>
            <a:xfrm rot="5400000">
              <a:off x="5960961" y="3267000"/>
              <a:ext cx="432000" cy="3240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7</xdr:col>
      <xdr:colOff>876147</xdr:colOff>
      <xdr:row>0</xdr:row>
      <xdr:rowOff>57151</xdr:rowOff>
    </xdr:from>
    <xdr:to>
      <xdr:col>13</xdr:col>
      <xdr:colOff>238124</xdr:colOff>
      <xdr:row>0</xdr:row>
      <xdr:rowOff>561975</xdr:rowOff>
    </xdr:to>
    <xdr:pic>
      <xdr:nvPicPr>
        <xdr:cNvPr id="2" name="my-online-training-hub-logo-2">
          <a:extLst>
            <a:ext uri="{FF2B5EF4-FFF2-40B4-BE49-F238E27FC236}">
              <a16:creationId xmlns:a16="http://schemas.microsoft.com/office/drawing/2014/main" id="{3E055745-DE7C-498A-B496-8F146D3FE4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029422" y="57151"/>
          <a:ext cx="3705377" cy="504824"/>
        </a:xfrm>
        <a:prstGeom prst="rect">
          <a:avLst/>
        </a:prstGeom>
      </xdr:spPr>
    </xdr:pic>
    <xdr:clientData/>
  </xdr:twoCellAnchor>
  <xdr:twoCellAnchor>
    <xdr:from>
      <xdr:col>8</xdr:col>
      <xdr:colOff>342900</xdr:colOff>
      <xdr:row>2</xdr:row>
      <xdr:rowOff>47625</xdr:rowOff>
    </xdr:from>
    <xdr:to>
      <xdr:col>11</xdr:col>
      <xdr:colOff>457200</xdr:colOff>
      <xdr:row>3</xdr:row>
      <xdr:rowOff>152400</xdr:rowOff>
    </xdr:to>
    <xdr:grpSp>
      <xdr:nvGrpSpPr>
        <xdr:cNvPr id="3" name="Group 2">
          <a:hlinkClick xmlns:r="http://schemas.openxmlformats.org/officeDocument/2006/relationships" r:id="rId3"/>
          <a:extLst>
            <a:ext uri="{FF2B5EF4-FFF2-40B4-BE49-F238E27FC236}">
              <a16:creationId xmlns:a16="http://schemas.microsoft.com/office/drawing/2014/main" id="{84BB49B9-C5BA-4D10-883A-0039F252C626}"/>
            </a:ext>
          </a:extLst>
        </xdr:cNvPr>
        <xdr:cNvGrpSpPr/>
      </xdr:nvGrpSpPr>
      <xdr:grpSpPr>
        <a:xfrm>
          <a:off x="8763000" y="878205"/>
          <a:ext cx="2255520" cy="531495"/>
          <a:chOff x="8919912" y="984584"/>
          <a:chExt cx="2197267" cy="536909"/>
        </a:xfrm>
      </xdr:grpSpPr>
      <xdr:sp macro="" textlink="">
        <xdr:nvSpPr>
          <xdr:cNvPr id="4" name="Rectangle: Rounded Corners 3">
            <a:extLst>
              <a:ext uri="{FF2B5EF4-FFF2-40B4-BE49-F238E27FC236}">
                <a16:creationId xmlns:a16="http://schemas.microsoft.com/office/drawing/2014/main" id="{BF5F0A06-600A-C464-116E-F9B67D575BD4}"/>
              </a:ext>
            </a:extLst>
          </xdr:cNvPr>
          <xdr:cNvSpPr/>
        </xdr:nvSpPr>
        <xdr:spPr>
          <a:xfrm>
            <a:off x="8919912" y="984584"/>
            <a:ext cx="2197267" cy="5369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AU" sz="1100" kern="1200"/>
              <a:t>Learn IF, IFS,</a:t>
            </a:r>
            <a:r>
              <a:rPr lang="en-AU" sz="1100" kern="1200" baseline="0"/>
              <a:t> Nested IFs,</a:t>
            </a:r>
          </a:p>
          <a:p>
            <a:pPr algn="r"/>
            <a:r>
              <a:rPr lang="en-AU" sz="1100" kern="1200" baseline="0"/>
              <a:t>IF(AND and IF(OF formulas</a:t>
            </a:r>
            <a:endParaRPr lang="en-AU" sz="1100" kern="1200"/>
          </a:p>
        </xdr:txBody>
      </xdr:sp>
      <xdr:pic>
        <xdr:nvPicPr>
          <xdr:cNvPr id="5" name="Graphic 4" descr="Gears with solid fill">
            <a:extLst>
              <a:ext uri="{FF2B5EF4-FFF2-40B4-BE49-F238E27FC236}">
                <a16:creationId xmlns:a16="http://schemas.microsoft.com/office/drawing/2014/main" id="{E673D973-2E83-5943-8966-090442B021A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013659" y="1032711"/>
            <a:ext cx="441158" cy="441158"/>
          </a:xfrm>
          <a:prstGeom prst="rect">
            <a:avLst/>
          </a:prstGeom>
        </xdr:spPr>
      </xdr:pic>
    </xdr:grpSp>
    <xdr:clientData/>
  </xdr:twoCellAnchor>
  <xdr:twoCellAnchor editAs="absolute">
    <xdr:from>
      <xdr:col>4</xdr:col>
      <xdr:colOff>742950</xdr:colOff>
      <xdr:row>0</xdr:row>
      <xdr:rowOff>152400</xdr:rowOff>
    </xdr:from>
    <xdr:to>
      <xdr:col>5</xdr:col>
      <xdr:colOff>790575</xdr:colOff>
      <xdr:row>0</xdr:row>
      <xdr:rowOff>447675</xdr:rowOff>
    </xdr:to>
    <xdr:grpSp>
      <xdr:nvGrpSpPr>
        <xdr:cNvPr id="6" name="Group 5">
          <a:hlinkClick xmlns:r="http://schemas.openxmlformats.org/officeDocument/2006/relationships" r:id="rId6"/>
          <a:extLst>
            <a:ext uri="{FF2B5EF4-FFF2-40B4-BE49-F238E27FC236}">
              <a16:creationId xmlns:a16="http://schemas.microsoft.com/office/drawing/2014/main" id="{AAADDB1B-29B0-4039-B6E1-B319481025E8}"/>
            </a:ext>
          </a:extLst>
        </xdr:cNvPr>
        <xdr:cNvGrpSpPr/>
      </xdr:nvGrpSpPr>
      <xdr:grpSpPr>
        <a:xfrm>
          <a:off x="4324350" y="152400"/>
          <a:ext cx="1190625" cy="295275"/>
          <a:chOff x="4486275" y="142875"/>
          <a:chExt cx="1162050" cy="295275"/>
        </a:xfrm>
      </xdr:grpSpPr>
      <xdr:sp macro="" textlink="">
        <xdr:nvSpPr>
          <xdr:cNvPr id="7" name="Rectangle: Rounded Corners 6">
            <a:extLst>
              <a:ext uri="{FF2B5EF4-FFF2-40B4-BE49-F238E27FC236}">
                <a16:creationId xmlns:a16="http://schemas.microsoft.com/office/drawing/2014/main" id="{35120C2E-40A0-7AED-B658-ABEF255D9D79}"/>
              </a:ext>
            </a:extLst>
          </xdr:cNvPr>
          <xdr:cNvSpPr/>
        </xdr:nvSpPr>
        <xdr:spPr>
          <a:xfrm>
            <a:off x="4486275" y="142875"/>
            <a:ext cx="1162050"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read tutorial</a:t>
            </a:r>
          </a:p>
        </xdr:txBody>
      </xdr:sp>
      <xdr:pic>
        <xdr:nvPicPr>
          <xdr:cNvPr id="8" name="Graphic 7" descr="Document">
            <a:extLst>
              <a:ext uri="{FF2B5EF4-FFF2-40B4-BE49-F238E27FC236}">
                <a16:creationId xmlns:a16="http://schemas.microsoft.com/office/drawing/2014/main" id="{541A873B-A868-29A8-D858-A1825D4E5C2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5391149" y="171449"/>
            <a:ext cx="238126" cy="238126"/>
          </a:xfrm>
          <a:prstGeom prst="rect">
            <a:avLst/>
          </a:prstGeom>
        </xdr:spPr>
      </xdr:pic>
    </xdr:grpSp>
    <xdr:clientData/>
  </xdr:twoCellAnchor>
  <xdr:twoCellAnchor editAs="absolute">
    <xdr:from>
      <xdr:col>5</xdr:col>
      <xdr:colOff>933449</xdr:colOff>
      <xdr:row>0</xdr:row>
      <xdr:rowOff>152400</xdr:rowOff>
    </xdr:from>
    <xdr:to>
      <xdr:col>6</xdr:col>
      <xdr:colOff>933449</xdr:colOff>
      <xdr:row>0</xdr:row>
      <xdr:rowOff>447675</xdr:rowOff>
    </xdr:to>
    <xdr:grpSp>
      <xdr:nvGrpSpPr>
        <xdr:cNvPr id="9" name="Group 8">
          <a:hlinkClick xmlns:r="http://schemas.openxmlformats.org/officeDocument/2006/relationships" r:id="rId9"/>
          <a:extLst>
            <a:ext uri="{FF2B5EF4-FFF2-40B4-BE49-F238E27FC236}">
              <a16:creationId xmlns:a16="http://schemas.microsoft.com/office/drawing/2014/main" id="{AD71F062-E535-48F4-9124-1B22981237B9}"/>
            </a:ext>
          </a:extLst>
        </xdr:cNvPr>
        <xdr:cNvGrpSpPr/>
      </xdr:nvGrpSpPr>
      <xdr:grpSpPr>
        <a:xfrm>
          <a:off x="5657849" y="152400"/>
          <a:ext cx="1402080" cy="295275"/>
          <a:chOff x="5400674" y="152400"/>
          <a:chExt cx="1362075" cy="295275"/>
        </a:xfrm>
      </xdr:grpSpPr>
      <xdr:sp macro="" textlink="">
        <xdr:nvSpPr>
          <xdr:cNvPr id="10" name="Rectangle: Rounded Corners 9">
            <a:extLst>
              <a:ext uri="{FF2B5EF4-FFF2-40B4-BE49-F238E27FC236}">
                <a16:creationId xmlns:a16="http://schemas.microsoft.com/office/drawing/2014/main" id="{51112E5E-A577-7F7F-D1B8-7D0EB3B26A19}"/>
              </a:ext>
            </a:extLst>
          </xdr:cNvPr>
          <xdr:cNvSpPr/>
        </xdr:nvSpPr>
        <xdr:spPr>
          <a:xfrm>
            <a:off x="5400674" y="152400"/>
            <a:ext cx="1362075"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watch tutorial</a:t>
            </a:r>
          </a:p>
        </xdr:txBody>
      </xdr:sp>
      <xdr:grpSp>
        <xdr:nvGrpSpPr>
          <xdr:cNvPr id="11" name="Group 10">
            <a:extLst>
              <a:ext uri="{FF2B5EF4-FFF2-40B4-BE49-F238E27FC236}">
                <a16:creationId xmlns:a16="http://schemas.microsoft.com/office/drawing/2014/main" id="{08C45F74-DF87-F9AB-32DA-7A1644E41DEB}"/>
              </a:ext>
            </a:extLst>
          </xdr:cNvPr>
          <xdr:cNvGrpSpPr/>
        </xdr:nvGrpSpPr>
        <xdr:grpSpPr>
          <a:xfrm>
            <a:off x="6419850" y="200025"/>
            <a:ext cx="280427" cy="200025"/>
            <a:chOff x="5495924" y="2943225"/>
            <a:chExt cx="1362075" cy="971550"/>
          </a:xfrm>
        </xdr:grpSpPr>
        <xdr:sp macro="" textlink="">
          <xdr:nvSpPr>
            <xdr:cNvPr id="12" name="Rectangle: Rounded Corners 11">
              <a:extLst>
                <a:ext uri="{FF2B5EF4-FFF2-40B4-BE49-F238E27FC236}">
                  <a16:creationId xmlns:a16="http://schemas.microsoft.com/office/drawing/2014/main" id="{B3578E3F-CA5F-C299-F4C8-A359977349C1}"/>
                </a:ext>
              </a:extLst>
            </xdr:cNvPr>
            <xdr:cNvSpPr/>
          </xdr:nvSpPr>
          <xdr:spPr>
            <a:xfrm>
              <a:off x="5495924" y="2943225"/>
              <a:ext cx="1362075" cy="971550"/>
            </a:xfrm>
            <a:prstGeom prst="roundRect">
              <a:avLst>
                <a:gd name="adj" fmla="val 23738"/>
              </a:avLst>
            </a:prstGeom>
            <a:solidFill>
              <a:srgbClr val="FF0000">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3" name="Isosceles Triangle 12">
              <a:extLst>
                <a:ext uri="{FF2B5EF4-FFF2-40B4-BE49-F238E27FC236}">
                  <a16:creationId xmlns:a16="http://schemas.microsoft.com/office/drawing/2014/main" id="{7CE6B256-B398-65CD-E933-3AD4B14F8B85}"/>
                </a:ext>
              </a:extLst>
            </xdr:cNvPr>
            <xdr:cNvSpPr/>
          </xdr:nvSpPr>
          <xdr:spPr>
            <a:xfrm rot="5400000">
              <a:off x="5960961" y="3267000"/>
              <a:ext cx="432000" cy="3240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7</xdr:col>
      <xdr:colOff>1931517</xdr:colOff>
      <xdr:row>0</xdr:row>
      <xdr:rowOff>57151</xdr:rowOff>
    </xdr:from>
    <xdr:to>
      <xdr:col>11</xdr:col>
      <xdr:colOff>788669</xdr:colOff>
      <xdr:row>0</xdr:row>
      <xdr:rowOff>561975</xdr:rowOff>
    </xdr:to>
    <xdr:pic>
      <xdr:nvPicPr>
        <xdr:cNvPr id="2" name="my-online-training-hub-logo-2">
          <a:extLst>
            <a:ext uri="{FF2B5EF4-FFF2-40B4-BE49-F238E27FC236}">
              <a16:creationId xmlns:a16="http://schemas.microsoft.com/office/drawing/2014/main" id="{386D96DE-459E-4D3F-A0A4-811E68AC5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029422" y="57151"/>
          <a:ext cx="3705377" cy="504824"/>
        </a:xfrm>
        <a:prstGeom prst="rect">
          <a:avLst/>
        </a:prstGeom>
      </xdr:spPr>
    </xdr:pic>
    <xdr:clientData/>
  </xdr:twoCellAnchor>
  <xdr:twoCellAnchor>
    <xdr:from>
      <xdr:col>11</xdr:col>
      <xdr:colOff>38100</xdr:colOff>
      <xdr:row>4</xdr:row>
      <xdr:rowOff>185855</xdr:rowOff>
    </xdr:from>
    <xdr:to>
      <xdr:col>13</xdr:col>
      <xdr:colOff>266700</xdr:colOff>
      <xdr:row>6</xdr:row>
      <xdr:rowOff>62495</xdr:rowOff>
    </xdr:to>
    <xdr:grpSp>
      <xdr:nvGrpSpPr>
        <xdr:cNvPr id="12" name="Group 11">
          <a:hlinkClick xmlns:r="http://schemas.openxmlformats.org/officeDocument/2006/relationships" r:id="rId3"/>
          <a:extLst>
            <a:ext uri="{FF2B5EF4-FFF2-40B4-BE49-F238E27FC236}">
              <a16:creationId xmlns:a16="http://schemas.microsoft.com/office/drawing/2014/main" id="{83EFB454-572E-BD01-93C9-C64BF44E2AB6}"/>
            </a:ext>
          </a:extLst>
        </xdr:cNvPr>
        <xdr:cNvGrpSpPr/>
      </xdr:nvGrpSpPr>
      <xdr:grpSpPr>
        <a:xfrm>
          <a:off x="11292840" y="1443155"/>
          <a:ext cx="1859280" cy="303360"/>
          <a:chOff x="8677275" y="1123950"/>
          <a:chExt cx="1809750" cy="295275"/>
        </a:xfrm>
      </xdr:grpSpPr>
      <xdr:sp macro="" textlink="">
        <xdr:nvSpPr>
          <xdr:cNvPr id="6" name="Rectangle: Rounded Corners 5">
            <a:extLst>
              <a:ext uri="{FF2B5EF4-FFF2-40B4-BE49-F238E27FC236}">
                <a16:creationId xmlns:a16="http://schemas.microsoft.com/office/drawing/2014/main" id="{C686C43B-191B-D652-FFB5-A395C8A5B91C}"/>
              </a:ext>
            </a:extLst>
          </xdr:cNvPr>
          <xdr:cNvSpPr/>
        </xdr:nvSpPr>
        <xdr:spPr>
          <a:xfrm>
            <a:off x="8677275" y="1123950"/>
            <a:ext cx="1809750" cy="2952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AU" sz="1100" kern="1200"/>
              <a:t>Learn INDEX</a:t>
            </a:r>
            <a:r>
              <a:rPr lang="en-AU" sz="1100" kern="1200" baseline="0"/>
              <a:t> &amp; MATCH</a:t>
            </a:r>
            <a:endParaRPr lang="en-AU" sz="1100" kern="1200"/>
          </a:p>
        </xdr:txBody>
      </xdr:sp>
      <xdr:pic>
        <xdr:nvPicPr>
          <xdr:cNvPr id="8" name="Graphic 7" descr="Magnifying glass with solid fill">
            <a:extLst>
              <a:ext uri="{FF2B5EF4-FFF2-40B4-BE49-F238E27FC236}">
                <a16:creationId xmlns:a16="http://schemas.microsoft.com/office/drawing/2014/main" id="{01BE7689-40B4-6F29-5275-930E95879BC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791575" y="1143000"/>
            <a:ext cx="257175" cy="257175"/>
          </a:xfrm>
          <a:prstGeom prst="rect">
            <a:avLst/>
          </a:prstGeom>
        </xdr:spPr>
      </xdr:pic>
    </xdr:grpSp>
    <xdr:clientData/>
  </xdr:twoCellAnchor>
  <xdr:twoCellAnchor>
    <xdr:from>
      <xdr:col>11</xdr:col>
      <xdr:colOff>38100</xdr:colOff>
      <xdr:row>3</xdr:row>
      <xdr:rowOff>50570</xdr:rowOff>
    </xdr:from>
    <xdr:to>
      <xdr:col>13</xdr:col>
      <xdr:colOff>266700</xdr:colOff>
      <xdr:row>4</xdr:row>
      <xdr:rowOff>138695</xdr:rowOff>
    </xdr:to>
    <xdr:grpSp>
      <xdr:nvGrpSpPr>
        <xdr:cNvPr id="11" name="Group 10">
          <a:hlinkClick xmlns:r="http://schemas.openxmlformats.org/officeDocument/2006/relationships" r:id="rId6"/>
          <a:extLst>
            <a:ext uri="{FF2B5EF4-FFF2-40B4-BE49-F238E27FC236}">
              <a16:creationId xmlns:a16="http://schemas.microsoft.com/office/drawing/2014/main" id="{D58ED6DF-A9B9-2C60-B6FD-2EDD1ED87B52}"/>
            </a:ext>
          </a:extLst>
        </xdr:cNvPr>
        <xdr:cNvGrpSpPr/>
      </xdr:nvGrpSpPr>
      <xdr:grpSpPr>
        <a:xfrm>
          <a:off x="11292840" y="1094510"/>
          <a:ext cx="1859280" cy="301485"/>
          <a:chOff x="8677275" y="778650"/>
          <a:chExt cx="1809750" cy="297675"/>
        </a:xfrm>
      </xdr:grpSpPr>
      <xdr:sp macro="" textlink="">
        <xdr:nvSpPr>
          <xdr:cNvPr id="4" name="Rectangle: Rounded Corners 3">
            <a:extLst>
              <a:ext uri="{FF2B5EF4-FFF2-40B4-BE49-F238E27FC236}">
                <a16:creationId xmlns:a16="http://schemas.microsoft.com/office/drawing/2014/main" id="{23EB8A06-0E63-B90D-9D32-CE2C1E9BA1DE}"/>
              </a:ext>
            </a:extLst>
          </xdr:cNvPr>
          <xdr:cNvSpPr/>
        </xdr:nvSpPr>
        <xdr:spPr>
          <a:xfrm>
            <a:off x="8677275" y="781050"/>
            <a:ext cx="1809750" cy="2952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AU" sz="1100" kern="1200"/>
              <a:t>Learn XLOOKUP</a:t>
            </a:r>
          </a:p>
        </xdr:txBody>
      </xdr:sp>
      <xdr:pic>
        <xdr:nvPicPr>
          <xdr:cNvPr id="10" name="Graphic 9" descr="Binoculars with solid fill">
            <a:extLst>
              <a:ext uri="{FF2B5EF4-FFF2-40B4-BE49-F238E27FC236}">
                <a16:creationId xmlns:a16="http://schemas.microsoft.com/office/drawing/2014/main" id="{7980414E-400C-C814-045C-51BC00EC42F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760600" y="778650"/>
            <a:ext cx="288150" cy="288150"/>
          </a:xfrm>
          <a:prstGeom prst="rect">
            <a:avLst/>
          </a:prstGeom>
        </xdr:spPr>
      </xdr:pic>
    </xdr:grpSp>
    <xdr:clientData/>
  </xdr:twoCellAnchor>
  <xdr:twoCellAnchor>
    <xdr:from>
      <xdr:col>11</xdr:col>
      <xdr:colOff>38100</xdr:colOff>
      <xdr:row>1</xdr:row>
      <xdr:rowOff>85724</xdr:rowOff>
    </xdr:from>
    <xdr:to>
      <xdr:col>13</xdr:col>
      <xdr:colOff>266700</xdr:colOff>
      <xdr:row>3</xdr:row>
      <xdr:rowOff>59838</xdr:rowOff>
    </xdr:to>
    <xdr:grpSp>
      <xdr:nvGrpSpPr>
        <xdr:cNvPr id="18" name="Group 17">
          <a:hlinkClick xmlns:r="http://schemas.openxmlformats.org/officeDocument/2006/relationships" r:id="rId9"/>
          <a:extLst>
            <a:ext uri="{FF2B5EF4-FFF2-40B4-BE49-F238E27FC236}">
              <a16:creationId xmlns:a16="http://schemas.microsoft.com/office/drawing/2014/main" id="{E8C470C4-E8A9-E050-C4BC-5AC9EC5F690A}"/>
            </a:ext>
          </a:extLst>
        </xdr:cNvPr>
        <xdr:cNvGrpSpPr/>
      </xdr:nvGrpSpPr>
      <xdr:grpSpPr>
        <a:xfrm>
          <a:off x="11292840" y="702944"/>
          <a:ext cx="1859280" cy="400834"/>
          <a:chOff x="9600271" y="703687"/>
          <a:chExt cx="1808356" cy="392285"/>
        </a:xfrm>
      </xdr:grpSpPr>
      <xdr:sp macro="" textlink="">
        <xdr:nvSpPr>
          <xdr:cNvPr id="14" name="Rectangle: Rounded Corners 13">
            <a:extLst>
              <a:ext uri="{FF2B5EF4-FFF2-40B4-BE49-F238E27FC236}">
                <a16:creationId xmlns:a16="http://schemas.microsoft.com/office/drawing/2014/main" id="{7326C282-3C91-7C57-D211-1B0F45595BA7}"/>
              </a:ext>
            </a:extLst>
          </xdr:cNvPr>
          <xdr:cNvSpPr/>
        </xdr:nvSpPr>
        <xdr:spPr>
          <a:xfrm>
            <a:off x="9600271" y="741779"/>
            <a:ext cx="1808356" cy="2943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AU" sz="1100" kern="1200"/>
              <a:t>Learn VLOOKUP</a:t>
            </a:r>
          </a:p>
        </xdr:txBody>
      </xdr:sp>
      <xdr:pic>
        <xdr:nvPicPr>
          <xdr:cNvPr id="17" name="Graphic 16" descr="Glasses with solid fill">
            <a:extLst>
              <a:ext uri="{FF2B5EF4-FFF2-40B4-BE49-F238E27FC236}">
                <a16:creationId xmlns:a16="http://schemas.microsoft.com/office/drawing/2014/main" id="{40BD9442-E3D2-9685-DC3B-3FCD877BE3E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685067" y="703687"/>
            <a:ext cx="392848" cy="392285"/>
          </a:xfrm>
          <a:prstGeom prst="rect">
            <a:avLst/>
          </a:prstGeom>
        </xdr:spPr>
      </xdr:pic>
    </xdr:grpSp>
    <xdr:clientData/>
  </xdr:twoCellAnchor>
  <xdr:twoCellAnchor editAs="absolute">
    <xdr:from>
      <xdr:col>4</xdr:col>
      <xdr:colOff>771525</xdr:colOff>
      <xdr:row>0</xdr:row>
      <xdr:rowOff>142875</xdr:rowOff>
    </xdr:from>
    <xdr:to>
      <xdr:col>6</xdr:col>
      <xdr:colOff>238125</xdr:colOff>
      <xdr:row>0</xdr:row>
      <xdr:rowOff>438150</xdr:rowOff>
    </xdr:to>
    <xdr:grpSp>
      <xdr:nvGrpSpPr>
        <xdr:cNvPr id="3" name="Group 2">
          <a:hlinkClick xmlns:r="http://schemas.openxmlformats.org/officeDocument/2006/relationships" r:id="rId12"/>
          <a:extLst>
            <a:ext uri="{FF2B5EF4-FFF2-40B4-BE49-F238E27FC236}">
              <a16:creationId xmlns:a16="http://schemas.microsoft.com/office/drawing/2014/main" id="{FECE029C-453B-47BE-968E-8C77356BAFC7}"/>
            </a:ext>
          </a:extLst>
        </xdr:cNvPr>
        <xdr:cNvGrpSpPr/>
      </xdr:nvGrpSpPr>
      <xdr:grpSpPr>
        <a:xfrm>
          <a:off x="3720465" y="142875"/>
          <a:ext cx="1203960" cy="295275"/>
          <a:chOff x="4486275" y="142875"/>
          <a:chExt cx="1162050" cy="295275"/>
        </a:xfrm>
      </xdr:grpSpPr>
      <xdr:sp macro="" textlink="">
        <xdr:nvSpPr>
          <xdr:cNvPr id="5" name="Rectangle: Rounded Corners 4">
            <a:extLst>
              <a:ext uri="{FF2B5EF4-FFF2-40B4-BE49-F238E27FC236}">
                <a16:creationId xmlns:a16="http://schemas.microsoft.com/office/drawing/2014/main" id="{35EAFEC9-D613-2AFE-0EC9-7A8B0F402B11}"/>
              </a:ext>
            </a:extLst>
          </xdr:cNvPr>
          <xdr:cNvSpPr/>
        </xdr:nvSpPr>
        <xdr:spPr>
          <a:xfrm>
            <a:off x="4486275" y="142875"/>
            <a:ext cx="1162050"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read tutorial</a:t>
            </a:r>
          </a:p>
        </xdr:txBody>
      </xdr:sp>
      <xdr:pic>
        <xdr:nvPicPr>
          <xdr:cNvPr id="7" name="Graphic 6" descr="Document">
            <a:extLst>
              <a:ext uri="{FF2B5EF4-FFF2-40B4-BE49-F238E27FC236}">
                <a16:creationId xmlns:a16="http://schemas.microsoft.com/office/drawing/2014/main" id="{EC8C2ED1-BCB0-BF4F-CC18-4158E419AE9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5391149" y="171449"/>
            <a:ext cx="238126" cy="238126"/>
          </a:xfrm>
          <a:prstGeom prst="rect">
            <a:avLst/>
          </a:prstGeom>
        </xdr:spPr>
      </xdr:pic>
    </xdr:grpSp>
    <xdr:clientData/>
  </xdr:twoCellAnchor>
  <xdr:twoCellAnchor editAs="absolute">
    <xdr:from>
      <xdr:col>6</xdr:col>
      <xdr:colOff>380999</xdr:colOff>
      <xdr:row>0</xdr:row>
      <xdr:rowOff>142875</xdr:rowOff>
    </xdr:from>
    <xdr:to>
      <xdr:col>7</xdr:col>
      <xdr:colOff>171449</xdr:colOff>
      <xdr:row>0</xdr:row>
      <xdr:rowOff>438150</xdr:rowOff>
    </xdr:to>
    <xdr:grpSp>
      <xdr:nvGrpSpPr>
        <xdr:cNvPr id="9" name="Group 8">
          <a:hlinkClick xmlns:r="http://schemas.openxmlformats.org/officeDocument/2006/relationships" r:id="rId15"/>
          <a:extLst>
            <a:ext uri="{FF2B5EF4-FFF2-40B4-BE49-F238E27FC236}">
              <a16:creationId xmlns:a16="http://schemas.microsoft.com/office/drawing/2014/main" id="{7F431304-EA0D-4F7F-9E4D-E15504159C53}"/>
            </a:ext>
          </a:extLst>
        </xdr:cNvPr>
        <xdr:cNvGrpSpPr/>
      </xdr:nvGrpSpPr>
      <xdr:grpSpPr>
        <a:xfrm>
          <a:off x="5067299" y="142875"/>
          <a:ext cx="1405890" cy="295275"/>
          <a:chOff x="5400674" y="152400"/>
          <a:chExt cx="1362075" cy="295275"/>
        </a:xfrm>
      </xdr:grpSpPr>
      <xdr:sp macro="" textlink="">
        <xdr:nvSpPr>
          <xdr:cNvPr id="13" name="Rectangle: Rounded Corners 12">
            <a:extLst>
              <a:ext uri="{FF2B5EF4-FFF2-40B4-BE49-F238E27FC236}">
                <a16:creationId xmlns:a16="http://schemas.microsoft.com/office/drawing/2014/main" id="{9235FDF9-CDEA-A67D-555E-4C0C35333048}"/>
              </a:ext>
            </a:extLst>
          </xdr:cNvPr>
          <xdr:cNvSpPr/>
        </xdr:nvSpPr>
        <xdr:spPr>
          <a:xfrm>
            <a:off x="5400674" y="152400"/>
            <a:ext cx="1362075"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watch tutorial</a:t>
            </a:r>
          </a:p>
        </xdr:txBody>
      </xdr:sp>
      <xdr:grpSp>
        <xdr:nvGrpSpPr>
          <xdr:cNvPr id="15" name="Group 14">
            <a:extLst>
              <a:ext uri="{FF2B5EF4-FFF2-40B4-BE49-F238E27FC236}">
                <a16:creationId xmlns:a16="http://schemas.microsoft.com/office/drawing/2014/main" id="{0004B88A-315F-B58E-3445-46962783797D}"/>
              </a:ext>
            </a:extLst>
          </xdr:cNvPr>
          <xdr:cNvGrpSpPr/>
        </xdr:nvGrpSpPr>
        <xdr:grpSpPr>
          <a:xfrm>
            <a:off x="6419850" y="200025"/>
            <a:ext cx="280427" cy="200025"/>
            <a:chOff x="5495924" y="2943225"/>
            <a:chExt cx="1362075" cy="971550"/>
          </a:xfrm>
        </xdr:grpSpPr>
        <xdr:sp macro="" textlink="">
          <xdr:nvSpPr>
            <xdr:cNvPr id="16" name="Rectangle: Rounded Corners 15">
              <a:extLst>
                <a:ext uri="{FF2B5EF4-FFF2-40B4-BE49-F238E27FC236}">
                  <a16:creationId xmlns:a16="http://schemas.microsoft.com/office/drawing/2014/main" id="{785E03AE-6BA5-150F-8CD9-97E342F93FA9}"/>
                </a:ext>
              </a:extLst>
            </xdr:cNvPr>
            <xdr:cNvSpPr/>
          </xdr:nvSpPr>
          <xdr:spPr>
            <a:xfrm>
              <a:off x="5495924" y="2943225"/>
              <a:ext cx="1362075" cy="971550"/>
            </a:xfrm>
            <a:prstGeom prst="roundRect">
              <a:avLst>
                <a:gd name="adj" fmla="val 23738"/>
              </a:avLst>
            </a:prstGeom>
            <a:solidFill>
              <a:srgbClr val="FF0000">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9" name="Isosceles Triangle 18">
              <a:extLst>
                <a:ext uri="{FF2B5EF4-FFF2-40B4-BE49-F238E27FC236}">
                  <a16:creationId xmlns:a16="http://schemas.microsoft.com/office/drawing/2014/main" id="{0AF9B3C9-4514-688D-FEBA-72DBB0FE9158}"/>
                </a:ext>
              </a:extLst>
            </xdr:cNvPr>
            <xdr:cNvSpPr/>
          </xdr:nvSpPr>
          <xdr:spPr>
            <a:xfrm rot="5400000">
              <a:off x="5960961" y="3267000"/>
              <a:ext cx="432000" cy="3240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7</xdr:col>
      <xdr:colOff>1895322</xdr:colOff>
      <xdr:row>0</xdr:row>
      <xdr:rowOff>57151</xdr:rowOff>
    </xdr:from>
    <xdr:to>
      <xdr:col>11</xdr:col>
      <xdr:colOff>790574</xdr:colOff>
      <xdr:row>0</xdr:row>
      <xdr:rowOff>561975</xdr:rowOff>
    </xdr:to>
    <xdr:pic>
      <xdr:nvPicPr>
        <xdr:cNvPr id="2" name="my-online-training-hub-logo-2">
          <a:extLst>
            <a:ext uri="{FF2B5EF4-FFF2-40B4-BE49-F238E27FC236}">
              <a16:creationId xmlns:a16="http://schemas.microsoft.com/office/drawing/2014/main" id="{45CA3817-065B-4C46-887F-5C33B325138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029422" y="57151"/>
          <a:ext cx="3705377" cy="504824"/>
        </a:xfrm>
        <a:prstGeom prst="rect">
          <a:avLst/>
        </a:prstGeom>
      </xdr:spPr>
    </xdr:pic>
    <xdr:clientData/>
  </xdr:twoCellAnchor>
  <xdr:twoCellAnchor>
    <xdr:from>
      <xdr:col>9</xdr:col>
      <xdr:colOff>771525</xdr:colOff>
      <xdr:row>5</xdr:row>
      <xdr:rowOff>23931</xdr:rowOff>
    </xdr:from>
    <xdr:to>
      <xdr:col>11</xdr:col>
      <xdr:colOff>457200</xdr:colOff>
      <xdr:row>6</xdr:row>
      <xdr:rowOff>110121</xdr:rowOff>
    </xdr:to>
    <xdr:grpSp>
      <xdr:nvGrpSpPr>
        <xdr:cNvPr id="3" name="Group 2">
          <a:hlinkClick xmlns:r="http://schemas.openxmlformats.org/officeDocument/2006/relationships" r:id="rId3"/>
          <a:extLst>
            <a:ext uri="{FF2B5EF4-FFF2-40B4-BE49-F238E27FC236}">
              <a16:creationId xmlns:a16="http://schemas.microsoft.com/office/drawing/2014/main" id="{8AA92AA0-951A-4385-939B-00E9CFF071C4}"/>
            </a:ext>
          </a:extLst>
        </xdr:cNvPr>
        <xdr:cNvGrpSpPr/>
      </xdr:nvGrpSpPr>
      <xdr:grpSpPr>
        <a:xfrm>
          <a:off x="9839325" y="1494591"/>
          <a:ext cx="1864995" cy="299550"/>
          <a:chOff x="8677275" y="1123950"/>
          <a:chExt cx="1809750" cy="295275"/>
        </a:xfrm>
      </xdr:grpSpPr>
      <xdr:sp macro="" textlink="">
        <xdr:nvSpPr>
          <xdr:cNvPr id="4" name="Rectangle: Rounded Corners 3">
            <a:extLst>
              <a:ext uri="{FF2B5EF4-FFF2-40B4-BE49-F238E27FC236}">
                <a16:creationId xmlns:a16="http://schemas.microsoft.com/office/drawing/2014/main" id="{940E7BA4-84EE-6F00-9AC9-FAE9502CE555}"/>
              </a:ext>
            </a:extLst>
          </xdr:cNvPr>
          <xdr:cNvSpPr/>
        </xdr:nvSpPr>
        <xdr:spPr>
          <a:xfrm>
            <a:off x="8677275" y="1123950"/>
            <a:ext cx="1809750" cy="2952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AU" sz="1100" kern="1200"/>
              <a:t>Learn INDEX</a:t>
            </a:r>
            <a:r>
              <a:rPr lang="en-AU" sz="1100" kern="1200" baseline="0"/>
              <a:t> &amp; MATCH</a:t>
            </a:r>
            <a:endParaRPr lang="en-AU" sz="1100" kern="1200"/>
          </a:p>
        </xdr:txBody>
      </xdr:sp>
      <xdr:pic>
        <xdr:nvPicPr>
          <xdr:cNvPr id="5" name="Graphic 4" descr="Magnifying glass with solid fill">
            <a:extLst>
              <a:ext uri="{FF2B5EF4-FFF2-40B4-BE49-F238E27FC236}">
                <a16:creationId xmlns:a16="http://schemas.microsoft.com/office/drawing/2014/main" id="{EBFC5059-29E4-6FB6-6DDB-02227758354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791575" y="1143000"/>
            <a:ext cx="257175" cy="257175"/>
          </a:xfrm>
          <a:prstGeom prst="rect">
            <a:avLst/>
          </a:prstGeom>
        </xdr:spPr>
      </xdr:pic>
    </xdr:grpSp>
    <xdr:clientData/>
  </xdr:twoCellAnchor>
  <xdr:twoCellAnchor>
    <xdr:from>
      <xdr:col>9</xdr:col>
      <xdr:colOff>771525</xdr:colOff>
      <xdr:row>3</xdr:row>
      <xdr:rowOff>98196</xdr:rowOff>
    </xdr:from>
    <xdr:to>
      <xdr:col>11</xdr:col>
      <xdr:colOff>457200</xdr:colOff>
      <xdr:row>4</xdr:row>
      <xdr:rowOff>186321</xdr:rowOff>
    </xdr:to>
    <xdr:grpSp>
      <xdr:nvGrpSpPr>
        <xdr:cNvPr id="6" name="Group 5">
          <a:hlinkClick xmlns:r="http://schemas.openxmlformats.org/officeDocument/2006/relationships" r:id="rId6"/>
          <a:extLst>
            <a:ext uri="{FF2B5EF4-FFF2-40B4-BE49-F238E27FC236}">
              <a16:creationId xmlns:a16="http://schemas.microsoft.com/office/drawing/2014/main" id="{9216E7EE-299F-412A-A209-C1030DA1C7BF}"/>
            </a:ext>
          </a:extLst>
        </xdr:cNvPr>
        <xdr:cNvGrpSpPr/>
      </xdr:nvGrpSpPr>
      <xdr:grpSpPr>
        <a:xfrm>
          <a:off x="9839325" y="1142136"/>
          <a:ext cx="1864995" cy="301485"/>
          <a:chOff x="8677275" y="778650"/>
          <a:chExt cx="1809750" cy="297675"/>
        </a:xfrm>
      </xdr:grpSpPr>
      <xdr:sp macro="" textlink="">
        <xdr:nvSpPr>
          <xdr:cNvPr id="7" name="Rectangle: Rounded Corners 6">
            <a:extLst>
              <a:ext uri="{FF2B5EF4-FFF2-40B4-BE49-F238E27FC236}">
                <a16:creationId xmlns:a16="http://schemas.microsoft.com/office/drawing/2014/main" id="{78496065-BFE8-0E9F-BE61-14AA058A6B52}"/>
              </a:ext>
            </a:extLst>
          </xdr:cNvPr>
          <xdr:cNvSpPr/>
        </xdr:nvSpPr>
        <xdr:spPr>
          <a:xfrm>
            <a:off x="8677275" y="781050"/>
            <a:ext cx="1809750" cy="2952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AU" sz="1100" kern="1200"/>
              <a:t>Learn XLOOKUP</a:t>
            </a:r>
          </a:p>
        </xdr:txBody>
      </xdr:sp>
      <xdr:pic>
        <xdr:nvPicPr>
          <xdr:cNvPr id="8" name="Graphic 7" descr="Binoculars with solid fill">
            <a:extLst>
              <a:ext uri="{FF2B5EF4-FFF2-40B4-BE49-F238E27FC236}">
                <a16:creationId xmlns:a16="http://schemas.microsoft.com/office/drawing/2014/main" id="{CA6A937C-D483-9421-8FE3-0A0565CC18D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760600" y="778650"/>
            <a:ext cx="288150" cy="288150"/>
          </a:xfrm>
          <a:prstGeom prst="rect">
            <a:avLst/>
          </a:prstGeom>
        </xdr:spPr>
      </xdr:pic>
    </xdr:grpSp>
    <xdr:clientData/>
  </xdr:twoCellAnchor>
  <xdr:twoCellAnchor>
    <xdr:from>
      <xdr:col>9</xdr:col>
      <xdr:colOff>771525</xdr:colOff>
      <xdr:row>1</xdr:row>
      <xdr:rowOff>133350</xdr:rowOff>
    </xdr:from>
    <xdr:to>
      <xdr:col>11</xdr:col>
      <xdr:colOff>457200</xdr:colOff>
      <xdr:row>3</xdr:row>
      <xdr:rowOff>107464</xdr:rowOff>
    </xdr:to>
    <xdr:grpSp>
      <xdr:nvGrpSpPr>
        <xdr:cNvPr id="9" name="Group 8">
          <a:hlinkClick xmlns:r="http://schemas.openxmlformats.org/officeDocument/2006/relationships" r:id="rId9"/>
          <a:extLst>
            <a:ext uri="{FF2B5EF4-FFF2-40B4-BE49-F238E27FC236}">
              <a16:creationId xmlns:a16="http://schemas.microsoft.com/office/drawing/2014/main" id="{3B1CD074-C856-454C-9911-AE4E9DC36D81}"/>
            </a:ext>
          </a:extLst>
        </xdr:cNvPr>
        <xdr:cNvGrpSpPr/>
      </xdr:nvGrpSpPr>
      <xdr:grpSpPr>
        <a:xfrm>
          <a:off x="9839325" y="750570"/>
          <a:ext cx="1864995" cy="400834"/>
          <a:chOff x="9600271" y="703687"/>
          <a:chExt cx="1808356" cy="392285"/>
        </a:xfrm>
      </xdr:grpSpPr>
      <xdr:sp macro="" textlink="">
        <xdr:nvSpPr>
          <xdr:cNvPr id="10" name="Rectangle: Rounded Corners 9">
            <a:extLst>
              <a:ext uri="{FF2B5EF4-FFF2-40B4-BE49-F238E27FC236}">
                <a16:creationId xmlns:a16="http://schemas.microsoft.com/office/drawing/2014/main" id="{48E46FA0-8605-20B7-0EB3-A6041DD2B5F5}"/>
              </a:ext>
            </a:extLst>
          </xdr:cNvPr>
          <xdr:cNvSpPr/>
        </xdr:nvSpPr>
        <xdr:spPr>
          <a:xfrm>
            <a:off x="9600271" y="741779"/>
            <a:ext cx="1808356" cy="2943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AU" sz="1100" kern="1200"/>
              <a:t>Learn VLOOKUP</a:t>
            </a:r>
          </a:p>
        </xdr:txBody>
      </xdr:sp>
      <xdr:pic>
        <xdr:nvPicPr>
          <xdr:cNvPr id="11" name="Graphic 10" descr="Glasses with solid fill">
            <a:extLst>
              <a:ext uri="{FF2B5EF4-FFF2-40B4-BE49-F238E27FC236}">
                <a16:creationId xmlns:a16="http://schemas.microsoft.com/office/drawing/2014/main" id="{E6FCFB0B-3183-97C6-B0CE-7ABB12E9BCF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685067" y="703687"/>
            <a:ext cx="392848" cy="392285"/>
          </a:xfrm>
          <a:prstGeom prst="rect">
            <a:avLst/>
          </a:prstGeom>
        </xdr:spPr>
      </xdr:pic>
    </xdr:grpSp>
    <xdr:clientData/>
  </xdr:twoCellAnchor>
  <xdr:twoCellAnchor editAs="absolute">
    <xdr:from>
      <xdr:col>6</xdr:col>
      <xdr:colOff>76200</xdr:colOff>
      <xdr:row>0</xdr:row>
      <xdr:rowOff>171450</xdr:rowOff>
    </xdr:from>
    <xdr:to>
      <xdr:col>6</xdr:col>
      <xdr:colOff>1238250</xdr:colOff>
      <xdr:row>0</xdr:row>
      <xdr:rowOff>466725</xdr:rowOff>
    </xdr:to>
    <xdr:grpSp>
      <xdr:nvGrpSpPr>
        <xdr:cNvPr id="12" name="Group 11">
          <a:hlinkClick xmlns:r="http://schemas.openxmlformats.org/officeDocument/2006/relationships" r:id="rId12"/>
          <a:extLst>
            <a:ext uri="{FF2B5EF4-FFF2-40B4-BE49-F238E27FC236}">
              <a16:creationId xmlns:a16="http://schemas.microsoft.com/office/drawing/2014/main" id="{C63E1620-C810-477C-BDD7-4D45DAF89B0D}"/>
            </a:ext>
          </a:extLst>
        </xdr:cNvPr>
        <xdr:cNvGrpSpPr/>
      </xdr:nvGrpSpPr>
      <xdr:grpSpPr>
        <a:xfrm>
          <a:off x="4762500" y="171450"/>
          <a:ext cx="1162050" cy="295275"/>
          <a:chOff x="4486275" y="142875"/>
          <a:chExt cx="1162050" cy="295275"/>
        </a:xfrm>
      </xdr:grpSpPr>
      <xdr:sp macro="" textlink="">
        <xdr:nvSpPr>
          <xdr:cNvPr id="13" name="Rectangle: Rounded Corners 12">
            <a:extLst>
              <a:ext uri="{FF2B5EF4-FFF2-40B4-BE49-F238E27FC236}">
                <a16:creationId xmlns:a16="http://schemas.microsoft.com/office/drawing/2014/main" id="{F1F0AF1C-944B-1F75-8050-F17DCFB8DE37}"/>
              </a:ext>
            </a:extLst>
          </xdr:cNvPr>
          <xdr:cNvSpPr/>
        </xdr:nvSpPr>
        <xdr:spPr>
          <a:xfrm>
            <a:off x="4486275" y="142875"/>
            <a:ext cx="1162050"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read tutorial</a:t>
            </a:r>
          </a:p>
        </xdr:txBody>
      </xdr:sp>
      <xdr:pic>
        <xdr:nvPicPr>
          <xdr:cNvPr id="14" name="Graphic 13" descr="Document">
            <a:extLst>
              <a:ext uri="{FF2B5EF4-FFF2-40B4-BE49-F238E27FC236}">
                <a16:creationId xmlns:a16="http://schemas.microsoft.com/office/drawing/2014/main" id="{F2E7EDFF-5686-AD44-9568-F67FD852CA97}"/>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5391149" y="171449"/>
            <a:ext cx="238126" cy="238126"/>
          </a:xfrm>
          <a:prstGeom prst="rect">
            <a:avLst/>
          </a:prstGeom>
        </xdr:spPr>
      </xdr:pic>
    </xdr:grpSp>
    <xdr:clientData/>
  </xdr:twoCellAnchor>
  <xdr:twoCellAnchor editAs="absolute">
    <xdr:from>
      <xdr:col>6</xdr:col>
      <xdr:colOff>1381124</xdr:colOff>
      <xdr:row>0</xdr:row>
      <xdr:rowOff>171450</xdr:rowOff>
    </xdr:from>
    <xdr:to>
      <xdr:col>7</xdr:col>
      <xdr:colOff>1171574</xdr:colOff>
      <xdr:row>0</xdr:row>
      <xdr:rowOff>466725</xdr:rowOff>
    </xdr:to>
    <xdr:grpSp>
      <xdr:nvGrpSpPr>
        <xdr:cNvPr id="15" name="Group 14">
          <a:hlinkClick xmlns:r="http://schemas.openxmlformats.org/officeDocument/2006/relationships" r:id="rId15"/>
          <a:extLst>
            <a:ext uri="{FF2B5EF4-FFF2-40B4-BE49-F238E27FC236}">
              <a16:creationId xmlns:a16="http://schemas.microsoft.com/office/drawing/2014/main" id="{5894C3E9-EDF2-4EEF-B852-6145B9A98C2B}"/>
            </a:ext>
          </a:extLst>
        </xdr:cNvPr>
        <xdr:cNvGrpSpPr/>
      </xdr:nvGrpSpPr>
      <xdr:grpSpPr>
        <a:xfrm>
          <a:off x="6067424" y="171450"/>
          <a:ext cx="1405890" cy="295275"/>
          <a:chOff x="5400674" y="152400"/>
          <a:chExt cx="1362075" cy="295275"/>
        </a:xfrm>
      </xdr:grpSpPr>
      <xdr:sp macro="" textlink="">
        <xdr:nvSpPr>
          <xdr:cNvPr id="16" name="Rectangle: Rounded Corners 15">
            <a:extLst>
              <a:ext uri="{FF2B5EF4-FFF2-40B4-BE49-F238E27FC236}">
                <a16:creationId xmlns:a16="http://schemas.microsoft.com/office/drawing/2014/main" id="{E04EDC0E-81E8-7F59-3D00-D2FFB44FA44A}"/>
              </a:ext>
            </a:extLst>
          </xdr:cNvPr>
          <xdr:cNvSpPr/>
        </xdr:nvSpPr>
        <xdr:spPr>
          <a:xfrm>
            <a:off x="5400674" y="152400"/>
            <a:ext cx="1362075"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watch tutorial</a:t>
            </a:r>
          </a:p>
        </xdr:txBody>
      </xdr:sp>
      <xdr:grpSp>
        <xdr:nvGrpSpPr>
          <xdr:cNvPr id="17" name="Group 16">
            <a:extLst>
              <a:ext uri="{FF2B5EF4-FFF2-40B4-BE49-F238E27FC236}">
                <a16:creationId xmlns:a16="http://schemas.microsoft.com/office/drawing/2014/main" id="{8C1A6973-82D2-8680-8C7B-16505FB93E50}"/>
              </a:ext>
            </a:extLst>
          </xdr:cNvPr>
          <xdr:cNvGrpSpPr/>
        </xdr:nvGrpSpPr>
        <xdr:grpSpPr>
          <a:xfrm>
            <a:off x="6419850" y="200025"/>
            <a:ext cx="280427" cy="200025"/>
            <a:chOff x="5495924" y="2943225"/>
            <a:chExt cx="1362075" cy="971550"/>
          </a:xfrm>
        </xdr:grpSpPr>
        <xdr:sp macro="" textlink="">
          <xdr:nvSpPr>
            <xdr:cNvPr id="18" name="Rectangle: Rounded Corners 17">
              <a:extLst>
                <a:ext uri="{FF2B5EF4-FFF2-40B4-BE49-F238E27FC236}">
                  <a16:creationId xmlns:a16="http://schemas.microsoft.com/office/drawing/2014/main" id="{11831F25-8255-88E2-2472-5E82AC2CA0DE}"/>
                </a:ext>
              </a:extLst>
            </xdr:cNvPr>
            <xdr:cNvSpPr/>
          </xdr:nvSpPr>
          <xdr:spPr>
            <a:xfrm>
              <a:off x="5495924" y="2943225"/>
              <a:ext cx="1362075" cy="971550"/>
            </a:xfrm>
            <a:prstGeom prst="roundRect">
              <a:avLst>
                <a:gd name="adj" fmla="val 23738"/>
              </a:avLst>
            </a:prstGeom>
            <a:solidFill>
              <a:srgbClr val="FF0000">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9" name="Isosceles Triangle 18">
              <a:extLst>
                <a:ext uri="{FF2B5EF4-FFF2-40B4-BE49-F238E27FC236}">
                  <a16:creationId xmlns:a16="http://schemas.microsoft.com/office/drawing/2014/main" id="{63793BBB-EF2F-CFEE-D152-EC2BEDACB149}"/>
                </a:ext>
              </a:extLst>
            </xdr:cNvPr>
            <xdr:cNvSpPr/>
          </xdr:nvSpPr>
          <xdr:spPr>
            <a:xfrm rot="5400000">
              <a:off x="5960961" y="3267000"/>
              <a:ext cx="432000" cy="3240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grpSp>
    <xdr:clientData/>
  </xdr:twoCellAnchor>
</xdr:wsDr>
</file>

<file path=xl/drawings/drawing10.xml><?xml version="1.0" encoding="utf-8"?>
<xdr:wsDr xmlns:xdr="http://schemas.openxmlformats.org/drawingml/2006/spreadsheetDrawing" xmlns:a="http://schemas.openxmlformats.org/drawingml/2006/main">
  <xdr:twoCellAnchor editAs="absolute">
    <xdr:from>
      <xdr:col>7</xdr:col>
      <xdr:colOff>323697</xdr:colOff>
      <xdr:row>0</xdr:row>
      <xdr:rowOff>57151</xdr:rowOff>
    </xdr:from>
    <xdr:to>
      <xdr:col>11</xdr:col>
      <xdr:colOff>400049</xdr:colOff>
      <xdr:row>0</xdr:row>
      <xdr:rowOff>561975</xdr:rowOff>
    </xdr:to>
    <xdr:pic>
      <xdr:nvPicPr>
        <xdr:cNvPr id="2" name="my-online-training-hub-logo-2">
          <a:extLst>
            <a:ext uri="{FF2B5EF4-FFF2-40B4-BE49-F238E27FC236}">
              <a16:creationId xmlns:a16="http://schemas.microsoft.com/office/drawing/2014/main" id="{3A3B3DBF-D6A1-4C8F-B177-951C4097AF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029422" y="57151"/>
          <a:ext cx="3705377" cy="504824"/>
        </a:xfrm>
        <a:prstGeom prst="rect">
          <a:avLst/>
        </a:prstGeom>
      </xdr:spPr>
    </xdr:pic>
    <xdr:clientData/>
  </xdr:twoCellAnchor>
  <xdr:twoCellAnchor>
    <xdr:from>
      <xdr:col>9</xdr:col>
      <xdr:colOff>876300</xdr:colOff>
      <xdr:row>1</xdr:row>
      <xdr:rowOff>200025</xdr:rowOff>
    </xdr:from>
    <xdr:to>
      <xdr:col>13</xdr:col>
      <xdr:colOff>371476</xdr:colOff>
      <xdr:row>5</xdr:row>
      <xdr:rowOff>95250</xdr:rowOff>
    </xdr:to>
    <xdr:grpSp>
      <xdr:nvGrpSpPr>
        <xdr:cNvPr id="13" name="Group 12">
          <a:hlinkClick xmlns:r="http://schemas.openxmlformats.org/officeDocument/2006/relationships" r:id="rId3"/>
          <a:extLst>
            <a:ext uri="{FF2B5EF4-FFF2-40B4-BE49-F238E27FC236}">
              <a16:creationId xmlns:a16="http://schemas.microsoft.com/office/drawing/2014/main" id="{64C310A6-54EA-2A23-C4FA-F802D9215109}"/>
            </a:ext>
          </a:extLst>
        </xdr:cNvPr>
        <xdr:cNvGrpSpPr/>
      </xdr:nvGrpSpPr>
      <xdr:grpSpPr>
        <a:xfrm>
          <a:off x="10736580" y="817245"/>
          <a:ext cx="2573656" cy="748665"/>
          <a:chOff x="10610850" y="1038225"/>
          <a:chExt cx="2476501" cy="733425"/>
        </a:xfrm>
      </xdr:grpSpPr>
      <xdr:sp macro="" textlink="">
        <xdr:nvSpPr>
          <xdr:cNvPr id="4" name="Rectangle: Rounded Corners 3">
            <a:extLst>
              <a:ext uri="{FF2B5EF4-FFF2-40B4-BE49-F238E27FC236}">
                <a16:creationId xmlns:a16="http://schemas.microsoft.com/office/drawing/2014/main" id="{C5CF6204-D33A-F6C3-E8DC-338BCC1A85B0}"/>
              </a:ext>
            </a:extLst>
          </xdr:cNvPr>
          <xdr:cNvSpPr/>
        </xdr:nvSpPr>
        <xdr:spPr>
          <a:xfrm>
            <a:off x="10610850" y="1038225"/>
            <a:ext cx="2476501" cy="7334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AU" sz="1800" kern="1200"/>
              <a:t>Master Custom Number Formats</a:t>
            </a:r>
          </a:p>
        </xdr:txBody>
      </xdr:sp>
      <xdr:pic>
        <xdr:nvPicPr>
          <xdr:cNvPr id="10" name="Graphic 9" descr="Abacus with solid fill">
            <a:extLst>
              <a:ext uri="{FF2B5EF4-FFF2-40B4-BE49-F238E27FC236}">
                <a16:creationId xmlns:a16="http://schemas.microsoft.com/office/drawing/2014/main" id="{845477CB-1415-6062-3EC4-ECD505C6147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620375" y="1114425"/>
            <a:ext cx="573900" cy="573900"/>
          </a:xfrm>
          <a:prstGeom prst="rect">
            <a:avLst/>
          </a:prstGeom>
        </xdr:spPr>
      </xdr:pic>
      <xdr:pic>
        <xdr:nvPicPr>
          <xdr:cNvPr id="12" name="Graphic 11" descr="Large paint brush with solid fill">
            <a:extLst>
              <a:ext uri="{FF2B5EF4-FFF2-40B4-BE49-F238E27FC236}">
                <a16:creationId xmlns:a16="http://schemas.microsoft.com/office/drawing/2014/main" id="{A467142B-F0C5-00A9-B5CA-9CC8E87CDCA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960875" y="1083450"/>
            <a:ext cx="573900" cy="573900"/>
          </a:xfrm>
          <a:prstGeom prst="rect">
            <a:avLst/>
          </a:prstGeom>
          <a:effectLst>
            <a:glow rad="101600">
              <a:schemeClr val="accent1">
                <a:satMod val="175000"/>
                <a:alpha val="40000"/>
              </a:schemeClr>
            </a:glow>
            <a:outerShdw blurRad="50800" dist="38100" dir="5400000" algn="t" rotWithShape="0">
              <a:prstClr val="black">
                <a:alpha val="40000"/>
              </a:prstClr>
            </a:outerShdw>
          </a:effectLst>
        </xdr:spPr>
      </xdr:pic>
    </xdr:grpSp>
    <xdr:clientData/>
  </xdr:twoCellAnchor>
  <xdr:twoCellAnchor>
    <xdr:from>
      <xdr:col>9</xdr:col>
      <xdr:colOff>914400</xdr:colOff>
      <xdr:row>6</xdr:row>
      <xdr:rowOff>19050</xdr:rowOff>
    </xdr:from>
    <xdr:to>
      <xdr:col>12</xdr:col>
      <xdr:colOff>361950</xdr:colOff>
      <xdr:row>7</xdr:row>
      <xdr:rowOff>105240</xdr:rowOff>
    </xdr:to>
    <xdr:grpSp>
      <xdr:nvGrpSpPr>
        <xdr:cNvPr id="9" name="Group 8">
          <a:hlinkClick xmlns:r="http://schemas.openxmlformats.org/officeDocument/2006/relationships" r:id="rId8"/>
          <a:extLst>
            <a:ext uri="{FF2B5EF4-FFF2-40B4-BE49-F238E27FC236}">
              <a16:creationId xmlns:a16="http://schemas.microsoft.com/office/drawing/2014/main" id="{47390DD0-9ED1-3E09-1949-B22D7D3B3726}"/>
            </a:ext>
          </a:extLst>
        </xdr:cNvPr>
        <xdr:cNvGrpSpPr/>
      </xdr:nvGrpSpPr>
      <xdr:grpSpPr>
        <a:xfrm>
          <a:off x="10774680" y="1703070"/>
          <a:ext cx="1885950" cy="299550"/>
          <a:chOff x="10500014" y="1677266"/>
          <a:chExt cx="1811481" cy="294008"/>
        </a:xfrm>
      </xdr:grpSpPr>
      <xdr:sp macro="" textlink="">
        <xdr:nvSpPr>
          <xdr:cNvPr id="5" name="Rectangle: Rounded Corners 4">
            <a:extLst>
              <a:ext uri="{FF2B5EF4-FFF2-40B4-BE49-F238E27FC236}">
                <a16:creationId xmlns:a16="http://schemas.microsoft.com/office/drawing/2014/main" id="{3EBFA5AC-496F-C5E1-CCC0-B0E0A67407A1}"/>
              </a:ext>
            </a:extLst>
          </xdr:cNvPr>
          <xdr:cNvSpPr/>
        </xdr:nvSpPr>
        <xdr:spPr>
          <a:xfrm>
            <a:off x="10500014" y="1677266"/>
            <a:ext cx="1811481" cy="29400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AU" sz="1100" kern="1200"/>
              <a:t>Learn the</a:t>
            </a:r>
            <a:r>
              <a:rPr lang="en-AU" sz="1100" kern="1200" baseline="0"/>
              <a:t> </a:t>
            </a:r>
            <a:r>
              <a:rPr lang="en-AU" sz="1100" kern="1200"/>
              <a:t>TEXT Function</a:t>
            </a:r>
          </a:p>
        </xdr:txBody>
      </xdr:sp>
      <xdr:pic>
        <xdr:nvPicPr>
          <xdr:cNvPr id="8" name="Graphic 7" descr="Document outline">
            <a:extLst>
              <a:ext uri="{FF2B5EF4-FFF2-40B4-BE49-F238E27FC236}">
                <a16:creationId xmlns:a16="http://schemas.microsoft.com/office/drawing/2014/main" id="{99A3C3AB-62B4-12B4-7E48-5307173CD89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533783" y="1697182"/>
            <a:ext cx="264969" cy="264969"/>
          </a:xfrm>
          <a:prstGeom prst="rect">
            <a:avLst/>
          </a:prstGeom>
        </xdr:spPr>
      </xdr:pic>
    </xdr:grpSp>
    <xdr:clientData/>
  </xdr:twoCellAnchor>
  <xdr:twoCellAnchor editAs="absolute">
    <xdr:from>
      <xdr:col>3</xdr:col>
      <xdr:colOff>885825</xdr:colOff>
      <xdr:row>0</xdr:row>
      <xdr:rowOff>171450</xdr:rowOff>
    </xdr:from>
    <xdr:to>
      <xdr:col>3</xdr:col>
      <xdr:colOff>2047875</xdr:colOff>
      <xdr:row>0</xdr:row>
      <xdr:rowOff>466725</xdr:rowOff>
    </xdr:to>
    <xdr:grpSp>
      <xdr:nvGrpSpPr>
        <xdr:cNvPr id="3" name="Group 2">
          <a:hlinkClick xmlns:r="http://schemas.openxmlformats.org/officeDocument/2006/relationships" r:id="rId11"/>
          <a:extLst>
            <a:ext uri="{FF2B5EF4-FFF2-40B4-BE49-F238E27FC236}">
              <a16:creationId xmlns:a16="http://schemas.microsoft.com/office/drawing/2014/main" id="{4A41C8B3-9C59-4983-8BBF-981F5726D8AF}"/>
            </a:ext>
          </a:extLst>
        </xdr:cNvPr>
        <xdr:cNvGrpSpPr/>
      </xdr:nvGrpSpPr>
      <xdr:grpSpPr>
        <a:xfrm>
          <a:off x="2752725" y="171450"/>
          <a:ext cx="1162050" cy="295275"/>
          <a:chOff x="4486275" y="142875"/>
          <a:chExt cx="1162050" cy="295275"/>
        </a:xfrm>
      </xdr:grpSpPr>
      <xdr:sp macro="" textlink="">
        <xdr:nvSpPr>
          <xdr:cNvPr id="6" name="Rectangle: Rounded Corners 5">
            <a:extLst>
              <a:ext uri="{FF2B5EF4-FFF2-40B4-BE49-F238E27FC236}">
                <a16:creationId xmlns:a16="http://schemas.microsoft.com/office/drawing/2014/main" id="{60692A25-5A09-7B30-9206-9D2AAD27A38D}"/>
              </a:ext>
            </a:extLst>
          </xdr:cNvPr>
          <xdr:cNvSpPr/>
        </xdr:nvSpPr>
        <xdr:spPr>
          <a:xfrm>
            <a:off x="4486275" y="142875"/>
            <a:ext cx="1162050"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read tutorial</a:t>
            </a:r>
          </a:p>
        </xdr:txBody>
      </xdr:sp>
      <xdr:pic>
        <xdr:nvPicPr>
          <xdr:cNvPr id="7" name="Graphic 6" descr="Document">
            <a:extLst>
              <a:ext uri="{FF2B5EF4-FFF2-40B4-BE49-F238E27FC236}">
                <a16:creationId xmlns:a16="http://schemas.microsoft.com/office/drawing/2014/main" id="{C09832D1-62E5-F04C-76D2-25EC5127DB8C}"/>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5391149" y="171449"/>
            <a:ext cx="238126" cy="238126"/>
          </a:xfrm>
          <a:prstGeom prst="rect">
            <a:avLst/>
          </a:prstGeom>
        </xdr:spPr>
      </xdr:pic>
    </xdr:grpSp>
    <xdr:clientData/>
  </xdr:twoCellAnchor>
  <xdr:twoCellAnchor editAs="absolute">
    <xdr:from>
      <xdr:col>3</xdr:col>
      <xdr:colOff>2190749</xdr:colOff>
      <xdr:row>0</xdr:row>
      <xdr:rowOff>171450</xdr:rowOff>
    </xdr:from>
    <xdr:to>
      <xdr:col>5</xdr:col>
      <xdr:colOff>76199</xdr:colOff>
      <xdr:row>0</xdr:row>
      <xdr:rowOff>466725</xdr:rowOff>
    </xdr:to>
    <xdr:grpSp>
      <xdr:nvGrpSpPr>
        <xdr:cNvPr id="11" name="Group 10">
          <a:hlinkClick xmlns:r="http://schemas.openxmlformats.org/officeDocument/2006/relationships" r:id="rId14"/>
          <a:extLst>
            <a:ext uri="{FF2B5EF4-FFF2-40B4-BE49-F238E27FC236}">
              <a16:creationId xmlns:a16="http://schemas.microsoft.com/office/drawing/2014/main" id="{B0C033EE-8A41-40A7-AABD-69F17F29470E}"/>
            </a:ext>
          </a:extLst>
        </xdr:cNvPr>
        <xdr:cNvGrpSpPr/>
      </xdr:nvGrpSpPr>
      <xdr:grpSpPr>
        <a:xfrm>
          <a:off x="4057649" y="171450"/>
          <a:ext cx="1459230" cy="295275"/>
          <a:chOff x="5400674" y="152400"/>
          <a:chExt cx="1362075" cy="295275"/>
        </a:xfrm>
      </xdr:grpSpPr>
      <xdr:sp macro="" textlink="">
        <xdr:nvSpPr>
          <xdr:cNvPr id="14" name="Rectangle: Rounded Corners 13">
            <a:extLst>
              <a:ext uri="{FF2B5EF4-FFF2-40B4-BE49-F238E27FC236}">
                <a16:creationId xmlns:a16="http://schemas.microsoft.com/office/drawing/2014/main" id="{90BBA15B-1F5C-9CE0-E069-74173D811606}"/>
              </a:ext>
            </a:extLst>
          </xdr:cNvPr>
          <xdr:cNvSpPr/>
        </xdr:nvSpPr>
        <xdr:spPr>
          <a:xfrm>
            <a:off x="5400674" y="152400"/>
            <a:ext cx="1362075"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watch tutorial</a:t>
            </a:r>
          </a:p>
        </xdr:txBody>
      </xdr:sp>
      <xdr:grpSp>
        <xdr:nvGrpSpPr>
          <xdr:cNvPr id="15" name="Group 14">
            <a:extLst>
              <a:ext uri="{FF2B5EF4-FFF2-40B4-BE49-F238E27FC236}">
                <a16:creationId xmlns:a16="http://schemas.microsoft.com/office/drawing/2014/main" id="{779E93CF-87B6-1547-550B-B63101F3793B}"/>
              </a:ext>
            </a:extLst>
          </xdr:cNvPr>
          <xdr:cNvGrpSpPr/>
        </xdr:nvGrpSpPr>
        <xdr:grpSpPr>
          <a:xfrm>
            <a:off x="6419850" y="200025"/>
            <a:ext cx="280427" cy="200025"/>
            <a:chOff x="5495924" y="2943225"/>
            <a:chExt cx="1362075" cy="971550"/>
          </a:xfrm>
        </xdr:grpSpPr>
        <xdr:sp macro="" textlink="">
          <xdr:nvSpPr>
            <xdr:cNvPr id="16" name="Rectangle: Rounded Corners 15">
              <a:extLst>
                <a:ext uri="{FF2B5EF4-FFF2-40B4-BE49-F238E27FC236}">
                  <a16:creationId xmlns:a16="http://schemas.microsoft.com/office/drawing/2014/main" id="{EED8FC64-D917-C96B-540B-FD3C2FFDD5E2}"/>
                </a:ext>
              </a:extLst>
            </xdr:cNvPr>
            <xdr:cNvSpPr/>
          </xdr:nvSpPr>
          <xdr:spPr>
            <a:xfrm>
              <a:off x="5495924" y="2943225"/>
              <a:ext cx="1362075" cy="971550"/>
            </a:xfrm>
            <a:prstGeom prst="roundRect">
              <a:avLst>
                <a:gd name="adj" fmla="val 23738"/>
              </a:avLst>
            </a:prstGeom>
            <a:solidFill>
              <a:srgbClr val="FF0000">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7" name="Isosceles Triangle 16">
              <a:extLst>
                <a:ext uri="{FF2B5EF4-FFF2-40B4-BE49-F238E27FC236}">
                  <a16:creationId xmlns:a16="http://schemas.microsoft.com/office/drawing/2014/main" id="{DE8C39FD-304B-45A7-842D-7E649778CFA0}"/>
                </a:ext>
              </a:extLst>
            </xdr:cNvPr>
            <xdr:cNvSpPr/>
          </xdr:nvSpPr>
          <xdr:spPr>
            <a:xfrm rot="5400000">
              <a:off x="5960961" y="3267000"/>
              <a:ext cx="432000" cy="3240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grpSp>
    <xdr:clientData/>
  </xdr:twoCellAnchor>
</xdr:wsDr>
</file>

<file path=xl/drawings/drawing11.xml><?xml version="1.0" encoding="utf-8"?>
<xdr:wsDr xmlns:xdr="http://schemas.openxmlformats.org/drawingml/2006/spreadsheetDrawing" xmlns:a="http://schemas.openxmlformats.org/drawingml/2006/main">
  <xdr:twoCellAnchor editAs="absolute">
    <xdr:from>
      <xdr:col>7</xdr:col>
      <xdr:colOff>323697</xdr:colOff>
      <xdr:row>0</xdr:row>
      <xdr:rowOff>57151</xdr:rowOff>
    </xdr:from>
    <xdr:to>
      <xdr:col>11</xdr:col>
      <xdr:colOff>400049</xdr:colOff>
      <xdr:row>0</xdr:row>
      <xdr:rowOff>561975</xdr:rowOff>
    </xdr:to>
    <xdr:pic>
      <xdr:nvPicPr>
        <xdr:cNvPr id="2" name="my-online-training-hub-logo-2">
          <a:extLst>
            <a:ext uri="{FF2B5EF4-FFF2-40B4-BE49-F238E27FC236}">
              <a16:creationId xmlns:a16="http://schemas.microsoft.com/office/drawing/2014/main" id="{B2688BB2-C436-4B84-A93D-66BD824CD56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029422" y="57151"/>
          <a:ext cx="3705377" cy="504824"/>
        </a:xfrm>
        <a:prstGeom prst="rect">
          <a:avLst/>
        </a:prstGeom>
      </xdr:spPr>
    </xdr:pic>
    <xdr:clientData/>
  </xdr:twoCellAnchor>
  <xdr:twoCellAnchor>
    <xdr:from>
      <xdr:col>9</xdr:col>
      <xdr:colOff>952500</xdr:colOff>
      <xdr:row>2</xdr:row>
      <xdr:rowOff>57150</xdr:rowOff>
    </xdr:from>
    <xdr:to>
      <xdr:col>13</xdr:col>
      <xdr:colOff>447676</xdr:colOff>
      <xdr:row>5</xdr:row>
      <xdr:rowOff>161925</xdr:rowOff>
    </xdr:to>
    <xdr:grpSp>
      <xdr:nvGrpSpPr>
        <xdr:cNvPr id="3" name="Group 2">
          <a:hlinkClick xmlns:r="http://schemas.openxmlformats.org/officeDocument/2006/relationships" r:id="rId3"/>
          <a:extLst>
            <a:ext uri="{FF2B5EF4-FFF2-40B4-BE49-F238E27FC236}">
              <a16:creationId xmlns:a16="http://schemas.microsoft.com/office/drawing/2014/main" id="{EADC8E72-16E9-4F6F-A951-065C6102B19F}"/>
            </a:ext>
          </a:extLst>
        </xdr:cNvPr>
        <xdr:cNvGrpSpPr/>
      </xdr:nvGrpSpPr>
      <xdr:grpSpPr>
        <a:xfrm>
          <a:off x="10812780" y="887730"/>
          <a:ext cx="2573656" cy="744855"/>
          <a:chOff x="10610850" y="1038225"/>
          <a:chExt cx="2476501" cy="733425"/>
        </a:xfrm>
      </xdr:grpSpPr>
      <xdr:sp macro="" textlink="">
        <xdr:nvSpPr>
          <xdr:cNvPr id="4" name="Rectangle: Rounded Corners 3">
            <a:extLst>
              <a:ext uri="{FF2B5EF4-FFF2-40B4-BE49-F238E27FC236}">
                <a16:creationId xmlns:a16="http://schemas.microsoft.com/office/drawing/2014/main" id="{FA3A2489-9EAF-DD35-767D-064EB5C0D558}"/>
              </a:ext>
            </a:extLst>
          </xdr:cNvPr>
          <xdr:cNvSpPr/>
        </xdr:nvSpPr>
        <xdr:spPr>
          <a:xfrm>
            <a:off x="10610850" y="1038225"/>
            <a:ext cx="2476501" cy="7334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AU" sz="1800" kern="1200"/>
              <a:t>Master Custom Number Formats</a:t>
            </a:r>
          </a:p>
        </xdr:txBody>
      </xdr:sp>
      <xdr:pic>
        <xdr:nvPicPr>
          <xdr:cNvPr id="5" name="Graphic 4" descr="Abacus with solid fill">
            <a:extLst>
              <a:ext uri="{FF2B5EF4-FFF2-40B4-BE49-F238E27FC236}">
                <a16:creationId xmlns:a16="http://schemas.microsoft.com/office/drawing/2014/main" id="{35338E14-7180-3D20-BF0A-70141D41699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620375" y="1114425"/>
            <a:ext cx="573900" cy="573900"/>
          </a:xfrm>
          <a:prstGeom prst="rect">
            <a:avLst/>
          </a:prstGeom>
        </xdr:spPr>
      </xdr:pic>
      <xdr:pic>
        <xdr:nvPicPr>
          <xdr:cNvPr id="6" name="Graphic 5" descr="Large paint brush with solid fill">
            <a:extLst>
              <a:ext uri="{FF2B5EF4-FFF2-40B4-BE49-F238E27FC236}">
                <a16:creationId xmlns:a16="http://schemas.microsoft.com/office/drawing/2014/main" id="{F8FE3D09-A237-306B-9A68-6534AB8C203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960875" y="1083450"/>
            <a:ext cx="573900" cy="573900"/>
          </a:xfrm>
          <a:prstGeom prst="rect">
            <a:avLst/>
          </a:prstGeom>
          <a:effectLst>
            <a:glow rad="101600">
              <a:schemeClr val="accent1">
                <a:satMod val="175000"/>
                <a:alpha val="40000"/>
              </a:schemeClr>
            </a:glow>
            <a:outerShdw blurRad="50800" dist="38100" dir="5400000" algn="t" rotWithShape="0">
              <a:prstClr val="black">
                <a:alpha val="40000"/>
              </a:prstClr>
            </a:outerShdw>
          </a:effectLst>
        </xdr:spPr>
      </xdr:pic>
    </xdr:grpSp>
    <xdr:clientData/>
  </xdr:twoCellAnchor>
  <xdr:twoCellAnchor editAs="absolute">
    <xdr:from>
      <xdr:col>4</xdr:col>
      <xdr:colOff>38100</xdr:colOff>
      <xdr:row>0</xdr:row>
      <xdr:rowOff>180975</xdr:rowOff>
    </xdr:from>
    <xdr:to>
      <xdr:col>5</xdr:col>
      <xdr:colOff>219075</xdr:colOff>
      <xdr:row>0</xdr:row>
      <xdr:rowOff>476250</xdr:rowOff>
    </xdr:to>
    <xdr:grpSp>
      <xdr:nvGrpSpPr>
        <xdr:cNvPr id="7" name="Group 6">
          <a:hlinkClick xmlns:r="http://schemas.openxmlformats.org/officeDocument/2006/relationships" r:id="rId8"/>
          <a:extLst>
            <a:ext uri="{FF2B5EF4-FFF2-40B4-BE49-F238E27FC236}">
              <a16:creationId xmlns:a16="http://schemas.microsoft.com/office/drawing/2014/main" id="{0D52A24D-A78D-4E44-86B7-AFF4668AF4C2}"/>
            </a:ext>
          </a:extLst>
        </xdr:cNvPr>
        <xdr:cNvGrpSpPr/>
      </xdr:nvGrpSpPr>
      <xdr:grpSpPr>
        <a:xfrm>
          <a:off x="4472940" y="180975"/>
          <a:ext cx="1186815" cy="295275"/>
          <a:chOff x="4486275" y="142875"/>
          <a:chExt cx="1162050" cy="295275"/>
        </a:xfrm>
      </xdr:grpSpPr>
      <xdr:sp macro="" textlink="">
        <xdr:nvSpPr>
          <xdr:cNvPr id="8" name="Rectangle: Rounded Corners 7">
            <a:extLst>
              <a:ext uri="{FF2B5EF4-FFF2-40B4-BE49-F238E27FC236}">
                <a16:creationId xmlns:a16="http://schemas.microsoft.com/office/drawing/2014/main" id="{BDF12439-07AD-57BD-4C5E-8F8FE56EFD4E}"/>
              </a:ext>
            </a:extLst>
          </xdr:cNvPr>
          <xdr:cNvSpPr/>
        </xdr:nvSpPr>
        <xdr:spPr>
          <a:xfrm>
            <a:off x="4486275" y="142875"/>
            <a:ext cx="1162050"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read tutorial</a:t>
            </a:r>
          </a:p>
        </xdr:txBody>
      </xdr:sp>
      <xdr:pic>
        <xdr:nvPicPr>
          <xdr:cNvPr id="9" name="Graphic 8" descr="Document">
            <a:extLst>
              <a:ext uri="{FF2B5EF4-FFF2-40B4-BE49-F238E27FC236}">
                <a16:creationId xmlns:a16="http://schemas.microsoft.com/office/drawing/2014/main" id="{F60B8A52-1606-5110-ABCE-677A2330604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5391149" y="171449"/>
            <a:ext cx="238126" cy="238126"/>
          </a:xfrm>
          <a:prstGeom prst="rect">
            <a:avLst/>
          </a:prstGeom>
        </xdr:spPr>
      </xdr:pic>
    </xdr:grpSp>
    <xdr:clientData/>
  </xdr:twoCellAnchor>
  <xdr:twoCellAnchor editAs="absolute">
    <xdr:from>
      <xdr:col>5</xdr:col>
      <xdr:colOff>361949</xdr:colOff>
      <xdr:row>0</xdr:row>
      <xdr:rowOff>180975</xdr:rowOff>
    </xdr:from>
    <xdr:to>
      <xdr:col>6</xdr:col>
      <xdr:colOff>1047749</xdr:colOff>
      <xdr:row>0</xdr:row>
      <xdr:rowOff>476250</xdr:rowOff>
    </xdr:to>
    <xdr:grpSp>
      <xdr:nvGrpSpPr>
        <xdr:cNvPr id="10" name="Group 9">
          <a:hlinkClick xmlns:r="http://schemas.openxmlformats.org/officeDocument/2006/relationships" r:id="rId11"/>
          <a:extLst>
            <a:ext uri="{FF2B5EF4-FFF2-40B4-BE49-F238E27FC236}">
              <a16:creationId xmlns:a16="http://schemas.microsoft.com/office/drawing/2014/main" id="{7D63C320-9B14-4BBF-86E8-194B088223AC}"/>
            </a:ext>
          </a:extLst>
        </xdr:cNvPr>
        <xdr:cNvGrpSpPr/>
      </xdr:nvGrpSpPr>
      <xdr:grpSpPr>
        <a:xfrm>
          <a:off x="5802629" y="180975"/>
          <a:ext cx="1379220" cy="295275"/>
          <a:chOff x="5400674" y="152400"/>
          <a:chExt cx="1362075" cy="295275"/>
        </a:xfrm>
      </xdr:grpSpPr>
      <xdr:sp macro="" textlink="">
        <xdr:nvSpPr>
          <xdr:cNvPr id="11" name="Rectangle: Rounded Corners 10">
            <a:extLst>
              <a:ext uri="{FF2B5EF4-FFF2-40B4-BE49-F238E27FC236}">
                <a16:creationId xmlns:a16="http://schemas.microsoft.com/office/drawing/2014/main" id="{48659A3D-C96B-B105-8739-4D086ABF45D6}"/>
              </a:ext>
            </a:extLst>
          </xdr:cNvPr>
          <xdr:cNvSpPr/>
        </xdr:nvSpPr>
        <xdr:spPr>
          <a:xfrm>
            <a:off x="5400674" y="152400"/>
            <a:ext cx="1362075"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watch tutorial</a:t>
            </a:r>
          </a:p>
        </xdr:txBody>
      </xdr:sp>
      <xdr:grpSp>
        <xdr:nvGrpSpPr>
          <xdr:cNvPr id="12" name="Group 11">
            <a:extLst>
              <a:ext uri="{FF2B5EF4-FFF2-40B4-BE49-F238E27FC236}">
                <a16:creationId xmlns:a16="http://schemas.microsoft.com/office/drawing/2014/main" id="{ADAE8C93-879C-1E01-4638-1D86A69925B6}"/>
              </a:ext>
            </a:extLst>
          </xdr:cNvPr>
          <xdr:cNvGrpSpPr/>
        </xdr:nvGrpSpPr>
        <xdr:grpSpPr>
          <a:xfrm>
            <a:off x="6419850" y="200025"/>
            <a:ext cx="280427" cy="200025"/>
            <a:chOff x="5495924" y="2943225"/>
            <a:chExt cx="1362075" cy="971550"/>
          </a:xfrm>
        </xdr:grpSpPr>
        <xdr:sp macro="" textlink="">
          <xdr:nvSpPr>
            <xdr:cNvPr id="13" name="Rectangle: Rounded Corners 12">
              <a:extLst>
                <a:ext uri="{FF2B5EF4-FFF2-40B4-BE49-F238E27FC236}">
                  <a16:creationId xmlns:a16="http://schemas.microsoft.com/office/drawing/2014/main" id="{8C29F67B-B039-2D0A-A8F1-0036B8558869}"/>
                </a:ext>
              </a:extLst>
            </xdr:cNvPr>
            <xdr:cNvSpPr/>
          </xdr:nvSpPr>
          <xdr:spPr>
            <a:xfrm>
              <a:off x="5495924" y="2943225"/>
              <a:ext cx="1362075" cy="971550"/>
            </a:xfrm>
            <a:prstGeom prst="roundRect">
              <a:avLst>
                <a:gd name="adj" fmla="val 23738"/>
              </a:avLst>
            </a:prstGeom>
            <a:solidFill>
              <a:srgbClr val="FF0000">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4" name="Isosceles Triangle 13">
              <a:extLst>
                <a:ext uri="{FF2B5EF4-FFF2-40B4-BE49-F238E27FC236}">
                  <a16:creationId xmlns:a16="http://schemas.microsoft.com/office/drawing/2014/main" id="{B69E4C95-6219-2F8E-0965-ADB9A35C1D60}"/>
                </a:ext>
              </a:extLst>
            </xdr:cNvPr>
            <xdr:cNvSpPr/>
          </xdr:nvSpPr>
          <xdr:spPr>
            <a:xfrm rot="5400000">
              <a:off x="5960961" y="3267000"/>
              <a:ext cx="432000" cy="3240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9</xdr:col>
      <xdr:colOff>641832</xdr:colOff>
      <xdr:row>0</xdr:row>
      <xdr:rowOff>57151</xdr:rowOff>
    </xdr:from>
    <xdr:to>
      <xdr:col>15</xdr:col>
      <xdr:colOff>565784</xdr:colOff>
      <xdr:row>0</xdr:row>
      <xdr:rowOff>561975</xdr:rowOff>
    </xdr:to>
    <xdr:pic>
      <xdr:nvPicPr>
        <xdr:cNvPr id="2" name="my-online-training-hub-logo-2">
          <a:extLst>
            <a:ext uri="{FF2B5EF4-FFF2-40B4-BE49-F238E27FC236}">
              <a16:creationId xmlns:a16="http://schemas.microsoft.com/office/drawing/2014/main" id="{74F15779-A3E0-49BF-A11C-76BC30C7B0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029422" y="57151"/>
          <a:ext cx="3705377" cy="504824"/>
        </a:xfrm>
        <a:prstGeom prst="rect">
          <a:avLst/>
        </a:prstGeom>
      </xdr:spPr>
    </xdr:pic>
    <xdr:clientData/>
  </xdr:twoCellAnchor>
  <xdr:twoCellAnchor>
    <xdr:from>
      <xdr:col>10</xdr:col>
      <xdr:colOff>273596</xdr:colOff>
      <xdr:row>2</xdr:row>
      <xdr:rowOff>39414</xdr:rowOff>
    </xdr:from>
    <xdr:to>
      <xdr:col>14</xdr:col>
      <xdr:colOff>273597</xdr:colOff>
      <xdr:row>5</xdr:row>
      <xdr:rowOff>144189</xdr:rowOff>
    </xdr:to>
    <xdr:grpSp>
      <xdr:nvGrpSpPr>
        <xdr:cNvPr id="12" name="Group 11">
          <a:extLst>
            <a:ext uri="{FF2B5EF4-FFF2-40B4-BE49-F238E27FC236}">
              <a16:creationId xmlns:a16="http://schemas.microsoft.com/office/drawing/2014/main" id="{6AD48DB3-F212-21A0-92A5-C836E4D884DB}"/>
            </a:ext>
          </a:extLst>
        </xdr:cNvPr>
        <xdr:cNvGrpSpPr/>
      </xdr:nvGrpSpPr>
      <xdr:grpSpPr>
        <a:xfrm>
          <a:off x="8564156" y="869994"/>
          <a:ext cx="2560321" cy="744855"/>
          <a:chOff x="7992130" y="867104"/>
          <a:chExt cx="2469933" cy="735395"/>
        </a:xfrm>
      </xdr:grpSpPr>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4E747115-5A09-E15B-3D78-7B9E28A0FE78}"/>
              </a:ext>
            </a:extLst>
          </xdr:cNvPr>
          <xdr:cNvSpPr/>
        </xdr:nvSpPr>
        <xdr:spPr>
          <a:xfrm>
            <a:off x="7992130" y="867104"/>
            <a:ext cx="2469933" cy="7353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AU" sz="1800" kern="1200"/>
              <a:t>Get started with</a:t>
            </a:r>
          </a:p>
          <a:p>
            <a:pPr algn="r"/>
            <a:r>
              <a:rPr lang="en-AU" sz="1800" kern="1200"/>
              <a:t>PivotTables here</a:t>
            </a:r>
          </a:p>
        </xdr:txBody>
      </xdr:sp>
      <xdr:sp macro="" textlink="">
        <xdr:nvSpPr>
          <xdr:cNvPr id="6" name="Rectangle 5">
            <a:extLst>
              <a:ext uri="{FF2B5EF4-FFF2-40B4-BE49-F238E27FC236}">
                <a16:creationId xmlns:a16="http://schemas.microsoft.com/office/drawing/2014/main" id="{D17A0139-F04A-A212-DCF0-9055DED656D8}"/>
              </a:ext>
            </a:extLst>
          </xdr:cNvPr>
          <xdr:cNvSpPr/>
        </xdr:nvSpPr>
        <xdr:spPr>
          <a:xfrm>
            <a:off x="8163208" y="981462"/>
            <a:ext cx="112995" cy="110746"/>
          </a:xfrm>
          <a:prstGeom prst="rect">
            <a:avLst/>
          </a:prstGeom>
          <a:solidFill>
            <a:schemeClr val="bg1"/>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7" name="Rectangle 6">
            <a:extLst>
              <a:ext uri="{FF2B5EF4-FFF2-40B4-BE49-F238E27FC236}">
                <a16:creationId xmlns:a16="http://schemas.microsoft.com/office/drawing/2014/main" id="{2DD55591-35F7-AAA0-AD1A-1B2A7710F490}"/>
              </a:ext>
            </a:extLst>
          </xdr:cNvPr>
          <xdr:cNvSpPr/>
        </xdr:nvSpPr>
        <xdr:spPr>
          <a:xfrm>
            <a:off x="8163208" y="1144830"/>
            <a:ext cx="112994" cy="339247"/>
          </a:xfrm>
          <a:prstGeom prst="rect">
            <a:avLst/>
          </a:prstGeom>
          <a:solidFill>
            <a:schemeClr val="bg1"/>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8" name="Rectangle 7">
            <a:extLst>
              <a:ext uri="{FF2B5EF4-FFF2-40B4-BE49-F238E27FC236}">
                <a16:creationId xmlns:a16="http://schemas.microsoft.com/office/drawing/2014/main" id="{B0853779-B048-3853-5470-54316681F398}"/>
              </a:ext>
            </a:extLst>
          </xdr:cNvPr>
          <xdr:cNvSpPr/>
        </xdr:nvSpPr>
        <xdr:spPr>
          <a:xfrm>
            <a:off x="8328023" y="981462"/>
            <a:ext cx="348471" cy="116693"/>
          </a:xfrm>
          <a:prstGeom prst="rect">
            <a:avLst/>
          </a:prstGeom>
          <a:solidFill>
            <a:schemeClr val="bg1"/>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9" name="Arrow: Left-Up 8">
            <a:extLst>
              <a:ext uri="{FF2B5EF4-FFF2-40B4-BE49-F238E27FC236}">
                <a16:creationId xmlns:a16="http://schemas.microsoft.com/office/drawing/2014/main" id="{22878A70-5E7B-77FC-39C1-F843E33D684B}"/>
              </a:ext>
            </a:extLst>
          </xdr:cNvPr>
          <xdr:cNvSpPr/>
        </xdr:nvSpPr>
        <xdr:spPr>
          <a:xfrm>
            <a:off x="8324008" y="1134803"/>
            <a:ext cx="373753" cy="370573"/>
          </a:xfrm>
          <a:prstGeom prst="leftUpArrow">
            <a:avLst>
              <a:gd name="adj1" fmla="val 15000"/>
              <a:gd name="adj2" fmla="val 20000"/>
              <a:gd name="adj3" fmla="val 24000"/>
            </a:avLst>
          </a:prstGeom>
          <a:solidFill>
            <a:schemeClr val="bg1"/>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clientData/>
  </xdr:twoCellAnchor>
  <xdr:twoCellAnchor editAs="absolute">
    <xdr:from>
      <xdr:col>4</xdr:col>
      <xdr:colOff>504825</xdr:colOff>
      <xdr:row>0</xdr:row>
      <xdr:rowOff>161925</xdr:rowOff>
    </xdr:from>
    <xdr:to>
      <xdr:col>5</xdr:col>
      <xdr:colOff>1057275</xdr:colOff>
      <xdr:row>0</xdr:row>
      <xdr:rowOff>457200</xdr:rowOff>
    </xdr:to>
    <xdr:grpSp>
      <xdr:nvGrpSpPr>
        <xdr:cNvPr id="3" name="Group 2">
          <a:hlinkClick xmlns:r="http://schemas.openxmlformats.org/officeDocument/2006/relationships" r:id="rId4"/>
          <a:extLst>
            <a:ext uri="{FF2B5EF4-FFF2-40B4-BE49-F238E27FC236}">
              <a16:creationId xmlns:a16="http://schemas.microsoft.com/office/drawing/2014/main" id="{3C9A12E4-F8E4-4490-8109-CDC1145D743E}"/>
            </a:ext>
          </a:extLst>
        </xdr:cNvPr>
        <xdr:cNvGrpSpPr/>
      </xdr:nvGrpSpPr>
      <xdr:grpSpPr>
        <a:xfrm>
          <a:off x="3156585" y="161925"/>
          <a:ext cx="1177290" cy="295275"/>
          <a:chOff x="4486275" y="142875"/>
          <a:chExt cx="1162050" cy="295275"/>
        </a:xfrm>
      </xdr:grpSpPr>
      <xdr:sp macro="" textlink="">
        <xdr:nvSpPr>
          <xdr:cNvPr id="5" name="Rectangle: Rounded Corners 4">
            <a:extLst>
              <a:ext uri="{FF2B5EF4-FFF2-40B4-BE49-F238E27FC236}">
                <a16:creationId xmlns:a16="http://schemas.microsoft.com/office/drawing/2014/main" id="{983A1613-4113-A0B9-22DD-5AF64D2DCEB4}"/>
              </a:ext>
            </a:extLst>
          </xdr:cNvPr>
          <xdr:cNvSpPr/>
        </xdr:nvSpPr>
        <xdr:spPr>
          <a:xfrm>
            <a:off x="4486275" y="142875"/>
            <a:ext cx="1162050"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read tutorial</a:t>
            </a:r>
          </a:p>
        </xdr:txBody>
      </xdr:sp>
      <xdr:pic>
        <xdr:nvPicPr>
          <xdr:cNvPr id="10" name="Graphic 9" descr="Document">
            <a:extLst>
              <a:ext uri="{FF2B5EF4-FFF2-40B4-BE49-F238E27FC236}">
                <a16:creationId xmlns:a16="http://schemas.microsoft.com/office/drawing/2014/main" id="{D0916166-DC01-86EF-B9F7-2B71CB48DDE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391149" y="171449"/>
            <a:ext cx="238126" cy="238126"/>
          </a:xfrm>
          <a:prstGeom prst="rect">
            <a:avLst/>
          </a:prstGeom>
        </xdr:spPr>
      </xdr:pic>
    </xdr:grpSp>
    <xdr:clientData/>
  </xdr:twoCellAnchor>
  <xdr:twoCellAnchor editAs="absolute">
    <xdr:from>
      <xdr:col>5</xdr:col>
      <xdr:colOff>1200149</xdr:colOff>
      <xdr:row>0</xdr:row>
      <xdr:rowOff>161925</xdr:rowOff>
    </xdr:from>
    <xdr:to>
      <xdr:col>7</xdr:col>
      <xdr:colOff>190499</xdr:colOff>
      <xdr:row>0</xdr:row>
      <xdr:rowOff>457200</xdr:rowOff>
    </xdr:to>
    <xdr:grpSp>
      <xdr:nvGrpSpPr>
        <xdr:cNvPr id="11" name="Group 10">
          <a:hlinkClick xmlns:r="http://schemas.openxmlformats.org/officeDocument/2006/relationships" r:id="rId7"/>
          <a:extLst>
            <a:ext uri="{FF2B5EF4-FFF2-40B4-BE49-F238E27FC236}">
              <a16:creationId xmlns:a16="http://schemas.microsoft.com/office/drawing/2014/main" id="{706BD7E6-976C-42F6-902B-F8A4E9E2DC2E}"/>
            </a:ext>
          </a:extLst>
        </xdr:cNvPr>
        <xdr:cNvGrpSpPr/>
      </xdr:nvGrpSpPr>
      <xdr:grpSpPr>
        <a:xfrm>
          <a:off x="4476749" y="161925"/>
          <a:ext cx="1428750" cy="295275"/>
          <a:chOff x="5400674" y="152400"/>
          <a:chExt cx="1362075" cy="295275"/>
        </a:xfrm>
      </xdr:grpSpPr>
      <xdr:sp macro="" textlink="">
        <xdr:nvSpPr>
          <xdr:cNvPr id="13" name="Rectangle: Rounded Corners 12">
            <a:extLst>
              <a:ext uri="{FF2B5EF4-FFF2-40B4-BE49-F238E27FC236}">
                <a16:creationId xmlns:a16="http://schemas.microsoft.com/office/drawing/2014/main" id="{C6C9A27A-7D8F-0D96-6959-B9DF9D29C47C}"/>
              </a:ext>
            </a:extLst>
          </xdr:cNvPr>
          <xdr:cNvSpPr/>
        </xdr:nvSpPr>
        <xdr:spPr>
          <a:xfrm>
            <a:off x="5400674" y="152400"/>
            <a:ext cx="1362075"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watch tutorial</a:t>
            </a:r>
          </a:p>
        </xdr:txBody>
      </xdr:sp>
      <xdr:grpSp>
        <xdr:nvGrpSpPr>
          <xdr:cNvPr id="14" name="Group 13">
            <a:extLst>
              <a:ext uri="{FF2B5EF4-FFF2-40B4-BE49-F238E27FC236}">
                <a16:creationId xmlns:a16="http://schemas.microsoft.com/office/drawing/2014/main" id="{8576A72B-F733-FB8E-CBFD-E9ED2C220CAF}"/>
              </a:ext>
            </a:extLst>
          </xdr:cNvPr>
          <xdr:cNvGrpSpPr/>
        </xdr:nvGrpSpPr>
        <xdr:grpSpPr>
          <a:xfrm>
            <a:off x="6419850" y="200025"/>
            <a:ext cx="280427" cy="200025"/>
            <a:chOff x="5495924" y="2943225"/>
            <a:chExt cx="1362075" cy="971550"/>
          </a:xfrm>
        </xdr:grpSpPr>
        <xdr:sp macro="" textlink="">
          <xdr:nvSpPr>
            <xdr:cNvPr id="15" name="Rectangle: Rounded Corners 14">
              <a:extLst>
                <a:ext uri="{FF2B5EF4-FFF2-40B4-BE49-F238E27FC236}">
                  <a16:creationId xmlns:a16="http://schemas.microsoft.com/office/drawing/2014/main" id="{F5DD6809-33DC-C67D-5008-BA78891482DF}"/>
                </a:ext>
              </a:extLst>
            </xdr:cNvPr>
            <xdr:cNvSpPr/>
          </xdr:nvSpPr>
          <xdr:spPr>
            <a:xfrm>
              <a:off x="5495924" y="2943225"/>
              <a:ext cx="1362075" cy="971550"/>
            </a:xfrm>
            <a:prstGeom prst="roundRect">
              <a:avLst>
                <a:gd name="adj" fmla="val 23738"/>
              </a:avLst>
            </a:prstGeom>
            <a:solidFill>
              <a:srgbClr val="FF0000">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6" name="Isosceles Triangle 15">
              <a:extLst>
                <a:ext uri="{FF2B5EF4-FFF2-40B4-BE49-F238E27FC236}">
                  <a16:creationId xmlns:a16="http://schemas.microsoft.com/office/drawing/2014/main" id="{F450580A-4AA9-F525-9583-8335F2A282F4}"/>
                </a:ext>
              </a:extLst>
            </xdr:cNvPr>
            <xdr:cNvSpPr/>
          </xdr:nvSpPr>
          <xdr:spPr>
            <a:xfrm rot="5400000">
              <a:off x="5960961" y="3267000"/>
              <a:ext cx="432000" cy="3240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grpSp>
    <xdr:clientData/>
  </xdr:twoCellAnchor>
  <xdr:twoCellAnchor editAs="oneCell">
    <xdr:from>
      <xdr:col>9</xdr:col>
      <xdr:colOff>480060</xdr:colOff>
      <xdr:row>6</xdr:row>
      <xdr:rowOff>190501</xdr:rowOff>
    </xdr:from>
    <xdr:to>
      <xdr:col>12</xdr:col>
      <xdr:colOff>342900</xdr:colOff>
      <xdr:row>13</xdr:row>
      <xdr:rowOff>60960</xdr:rowOff>
    </xdr:to>
    <mc:AlternateContent xmlns:mc="http://schemas.openxmlformats.org/markup-compatibility/2006">
      <mc:Choice xmlns:a14="http://schemas.microsoft.com/office/drawing/2010/main" Requires="a14">
        <xdr:graphicFrame macro="">
          <xdr:nvGraphicFramePr>
            <xdr:cNvPr id="17" name="Year">
              <a:extLst>
                <a:ext uri="{FF2B5EF4-FFF2-40B4-BE49-F238E27FC236}">
                  <a16:creationId xmlns:a16="http://schemas.microsoft.com/office/drawing/2014/main" id="{AB645BD1-CF68-E905-194C-C2DC9084B2B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084820" y="1874521"/>
              <a:ext cx="1828800" cy="1363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editAs="absolute">
    <xdr:from>
      <xdr:col>10</xdr:col>
      <xdr:colOff>405612</xdr:colOff>
      <xdr:row>0</xdr:row>
      <xdr:rowOff>57151</xdr:rowOff>
    </xdr:from>
    <xdr:to>
      <xdr:col>15</xdr:col>
      <xdr:colOff>1015364</xdr:colOff>
      <xdr:row>0</xdr:row>
      <xdr:rowOff>561975</xdr:rowOff>
    </xdr:to>
    <xdr:pic>
      <xdr:nvPicPr>
        <xdr:cNvPr id="2" name="my-online-training-hub-logo-2">
          <a:extLst>
            <a:ext uri="{FF2B5EF4-FFF2-40B4-BE49-F238E27FC236}">
              <a16:creationId xmlns:a16="http://schemas.microsoft.com/office/drawing/2014/main" id="{9B9448A4-AA9D-420C-83AF-0A2D3F2041D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029422" y="57151"/>
          <a:ext cx="3705377" cy="504824"/>
        </a:xfrm>
        <a:prstGeom prst="rect">
          <a:avLst/>
        </a:prstGeom>
      </xdr:spPr>
    </xdr:pic>
    <xdr:clientData/>
  </xdr:twoCellAnchor>
  <xdr:twoCellAnchor editAs="oneCell">
    <xdr:from>
      <xdr:col>5</xdr:col>
      <xdr:colOff>323850</xdr:colOff>
      <xdr:row>7</xdr:row>
      <xdr:rowOff>0</xdr:rowOff>
    </xdr:from>
    <xdr:to>
      <xdr:col>5</xdr:col>
      <xdr:colOff>1409700</xdr:colOff>
      <xdr:row>12</xdr:row>
      <xdr:rowOff>180975</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8645D36A-5AA9-400D-93BD-3AA2535D822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505200" y="1876425"/>
              <a:ext cx="1085850" cy="12287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273596</xdr:colOff>
      <xdr:row>2</xdr:row>
      <xdr:rowOff>39414</xdr:rowOff>
    </xdr:from>
    <xdr:to>
      <xdr:col>14</xdr:col>
      <xdr:colOff>273597</xdr:colOff>
      <xdr:row>5</xdr:row>
      <xdr:rowOff>144189</xdr:rowOff>
    </xdr:to>
    <xdr:grpSp>
      <xdr:nvGrpSpPr>
        <xdr:cNvPr id="4" name="Group 3">
          <a:hlinkClick xmlns:r="http://schemas.openxmlformats.org/officeDocument/2006/relationships" r:id="rId3"/>
          <a:extLst>
            <a:ext uri="{FF2B5EF4-FFF2-40B4-BE49-F238E27FC236}">
              <a16:creationId xmlns:a16="http://schemas.microsoft.com/office/drawing/2014/main" id="{A87E14CB-11C7-4051-97DA-5313DF6CF376}"/>
            </a:ext>
          </a:extLst>
        </xdr:cNvPr>
        <xdr:cNvGrpSpPr/>
      </xdr:nvGrpSpPr>
      <xdr:grpSpPr>
        <a:xfrm>
          <a:off x="8114576" y="869994"/>
          <a:ext cx="2560321" cy="744855"/>
          <a:chOff x="7992130" y="867104"/>
          <a:chExt cx="2469933" cy="735395"/>
        </a:xfrm>
      </xdr:grpSpPr>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9770EFFE-FD59-DBB4-4648-1D8DBC21B390}"/>
              </a:ext>
            </a:extLst>
          </xdr:cNvPr>
          <xdr:cNvSpPr/>
        </xdr:nvSpPr>
        <xdr:spPr>
          <a:xfrm>
            <a:off x="7992130" y="867104"/>
            <a:ext cx="2469933" cy="7353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AU" sz="1800" kern="1200"/>
              <a:t>Get started with</a:t>
            </a:r>
          </a:p>
          <a:p>
            <a:pPr algn="r"/>
            <a:r>
              <a:rPr lang="en-AU" sz="1800" kern="1200"/>
              <a:t>PivotTables here</a:t>
            </a:r>
          </a:p>
        </xdr:txBody>
      </xdr:sp>
      <xdr:sp macro="" textlink="">
        <xdr:nvSpPr>
          <xdr:cNvPr id="6" name="Rectangle 5">
            <a:extLst>
              <a:ext uri="{FF2B5EF4-FFF2-40B4-BE49-F238E27FC236}">
                <a16:creationId xmlns:a16="http://schemas.microsoft.com/office/drawing/2014/main" id="{B2BBDC95-E094-CA59-9A03-65155A09DD4D}"/>
              </a:ext>
            </a:extLst>
          </xdr:cNvPr>
          <xdr:cNvSpPr/>
        </xdr:nvSpPr>
        <xdr:spPr>
          <a:xfrm>
            <a:off x="8163208" y="981462"/>
            <a:ext cx="112995" cy="110746"/>
          </a:xfrm>
          <a:prstGeom prst="rect">
            <a:avLst/>
          </a:prstGeom>
          <a:solidFill>
            <a:schemeClr val="bg1"/>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7" name="Rectangle 6">
            <a:extLst>
              <a:ext uri="{FF2B5EF4-FFF2-40B4-BE49-F238E27FC236}">
                <a16:creationId xmlns:a16="http://schemas.microsoft.com/office/drawing/2014/main" id="{B9146877-0C1D-BD89-1E68-0D9DED6A2282}"/>
              </a:ext>
            </a:extLst>
          </xdr:cNvPr>
          <xdr:cNvSpPr/>
        </xdr:nvSpPr>
        <xdr:spPr>
          <a:xfrm>
            <a:off x="8163208" y="1144830"/>
            <a:ext cx="112994" cy="339247"/>
          </a:xfrm>
          <a:prstGeom prst="rect">
            <a:avLst/>
          </a:prstGeom>
          <a:solidFill>
            <a:schemeClr val="bg1"/>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8" name="Rectangle 7">
            <a:extLst>
              <a:ext uri="{FF2B5EF4-FFF2-40B4-BE49-F238E27FC236}">
                <a16:creationId xmlns:a16="http://schemas.microsoft.com/office/drawing/2014/main" id="{8BD7E389-8D45-5973-4596-67DD485C20E1}"/>
              </a:ext>
            </a:extLst>
          </xdr:cNvPr>
          <xdr:cNvSpPr/>
        </xdr:nvSpPr>
        <xdr:spPr>
          <a:xfrm>
            <a:off x="8328023" y="981462"/>
            <a:ext cx="348471" cy="116693"/>
          </a:xfrm>
          <a:prstGeom prst="rect">
            <a:avLst/>
          </a:prstGeom>
          <a:solidFill>
            <a:schemeClr val="bg1"/>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9" name="Arrow: Left-Up 8">
            <a:extLst>
              <a:ext uri="{FF2B5EF4-FFF2-40B4-BE49-F238E27FC236}">
                <a16:creationId xmlns:a16="http://schemas.microsoft.com/office/drawing/2014/main" id="{E6E26991-A200-B3A9-88F4-31AB607E9101}"/>
              </a:ext>
            </a:extLst>
          </xdr:cNvPr>
          <xdr:cNvSpPr/>
        </xdr:nvSpPr>
        <xdr:spPr>
          <a:xfrm>
            <a:off x="8324008" y="1134803"/>
            <a:ext cx="373753" cy="370573"/>
          </a:xfrm>
          <a:prstGeom prst="leftUpArrow">
            <a:avLst>
              <a:gd name="adj1" fmla="val 15000"/>
              <a:gd name="adj2" fmla="val 20000"/>
              <a:gd name="adj3" fmla="val 24000"/>
            </a:avLst>
          </a:prstGeom>
          <a:solidFill>
            <a:schemeClr val="bg1"/>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clientData/>
  </xdr:twoCellAnchor>
  <xdr:twoCellAnchor editAs="absolute">
    <xdr:from>
      <xdr:col>5</xdr:col>
      <xdr:colOff>666750</xdr:colOff>
      <xdr:row>0</xdr:row>
      <xdr:rowOff>180975</xdr:rowOff>
    </xdr:from>
    <xdr:to>
      <xdr:col>6</xdr:col>
      <xdr:colOff>295275</xdr:colOff>
      <xdr:row>0</xdr:row>
      <xdr:rowOff>476250</xdr:rowOff>
    </xdr:to>
    <xdr:grpSp>
      <xdr:nvGrpSpPr>
        <xdr:cNvPr id="10" name="Group 9">
          <a:hlinkClick xmlns:r="http://schemas.openxmlformats.org/officeDocument/2006/relationships" r:id="rId4"/>
          <a:extLst>
            <a:ext uri="{FF2B5EF4-FFF2-40B4-BE49-F238E27FC236}">
              <a16:creationId xmlns:a16="http://schemas.microsoft.com/office/drawing/2014/main" id="{8EB5C838-7BCF-4C64-B7EE-FD73C9307D0C}"/>
            </a:ext>
          </a:extLst>
        </xdr:cNvPr>
        <xdr:cNvGrpSpPr/>
      </xdr:nvGrpSpPr>
      <xdr:grpSpPr>
        <a:xfrm>
          <a:off x="3943350" y="180975"/>
          <a:ext cx="1205865" cy="295275"/>
          <a:chOff x="4486275" y="142875"/>
          <a:chExt cx="1162050" cy="295275"/>
        </a:xfrm>
      </xdr:grpSpPr>
      <xdr:sp macro="" textlink="">
        <xdr:nvSpPr>
          <xdr:cNvPr id="11" name="Rectangle: Rounded Corners 10">
            <a:extLst>
              <a:ext uri="{FF2B5EF4-FFF2-40B4-BE49-F238E27FC236}">
                <a16:creationId xmlns:a16="http://schemas.microsoft.com/office/drawing/2014/main" id="{3B502DCC-F7B1-E11F-E0BB-34EB967F2818}"/>
              </a:ext>
            </a:extLst>
          </xdr:cNvPr>
          <xdr:cNvSpPr/>
        </xdr:nvSpPr>
        <xdr:spPr>
          <a:xfrm>
            <a:off x="4486275" y="142875"/>
            <a:ext cx="1162050"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read tutorial</a:t>
            </a:r>
          </a:p>
        </xdr:txBody>
      </xdr:sp>
      <xdr:pic>
        <xdr:nvPicPr>
          <xdr:cNvPr id="12" name="Graphic 11" descr="Document">
            <a:extLst>
              <a:ext uri="{FF2B5EF4-FFF2-40B4-BE49-F238E27FC236}">
                <a16:creationId xmlns:a16="http://schemas.microsoft.com/office/drawing/2014/main" id="{DE08FC06-74D9-7950-46CA-36300687286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391149" y="171449"/>
            <a:ext cx="238126" cy="238126"/>
          </a:xfrm>
          <a:prstGeom prst="rect">
            <a:avLst/>
          </a:prstGeom>
        </xdr:spPr>
      </xdr:pic>
    </xdr:grpSp>
    <xdr:clientData/>
  </xdr:twoCellAnchor>
  <xdr:twoCellAnchor editAs="absolute">
    <xdr:from>
      <xdr:col>6</xdr:col>
      <xdr:colOff>438149</xdr:colOff>
      <xdr:row>0</xdr:row>
      <xdr:rowOff>180975</xdr:rowOff>
    </xdr:from>
    <xdr:to>
      <xdr:col>8</xdr:col>
      <xdr:colOff>182879</xdr:colOff>
      <xdr:row>0</xdr:row>
      <xdr:rowOff>476250</xdr:rowOff>
    </xdr:to>
    <xdr:grpSp>
      <xdr:nvGrpSpPr>
        <xdr:cNvPr id="13" name="Group 12">
          <a:hlinkClick xmlns:r="http://schemas.openxmlformats.org/officeDocument/2006/relationships" r:id="rId7"/>
          <a:extLst>
            <a:ext uri="{FF2B5EF4-FFF2-40B4-BE49-F238E27FC236}">
              <a16:creationId xmlns:a16="http://schemas.microsoft.com/office/drawing/2014/main" id="{0B8B8CE7-BE81-4C7C-9B10-C01ABE5105F1}"/>
            </a:ext>
          </a:extLst>
        </xdr:cNvPr>
        <xdr:cNvGrpSpPr/>
      </xdr:nvGrpSpPr>
      <xdr:grpSpPr>
        <a:xfrm>
          <a:off x="5292089" y="180975"/>
          <a:ext cx="1405890" cy="295275"/>
          <a:chOff x="5400674" y="152400"/>
          <a:chExt cx="1362075" cy="295275"/>
        </a:xfrm>
      </xdr:grpSpPr>
      <xdr:sp macro="" textlink="">
        <xdr:nvSpPr>
          <xdr:cNvPr id="14" name="Rectangle: Rounded Corners 13">
            <a:extLst>
              <a:ext uri="{FF2B5EF4-FFF2-40B4-BE49-F238E27FC236}">
                <a16:creationId xmlns:a16="http://schemas.microsoft.com/office/drawing/2014/main" id="{6C8A01F3-893B-1FB1-170F-8243B23F3BC6}"/>
              </a:ext>
            </a:extLst>
          </xdr:cNvPr>
          <xdr:cNvSpPr/>
        </xdr:nvSpPr>
        <xdr:spPr>
          <a:xfrm>
            <a:off x="5400674" y="152400"/>
            <a:ext cx="1362075"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watch tutorial</a:t>
            </a:r>
          </a:p>
        </xdr:txBody>
      </xdr:sp>
      <xdr:grpSp>
        <xdr:nvGrpSpPr>
          <xdr:cNvPr id="15" name="Group 14">
            <a:extLst>
              <a:ext uri="{FF2B5EF4-FFF2-40B4-BE49-F238E27FC236}">
                <a16:creationId xmlns:a16="http://schemas.microsoft.com/office/drawing/2014/main" id="{B474AEC2-9EA2-B82C-23CA-EF5F5877FD07}"/>
              </a:ext>
            </a:extLst>
          </xdr:cNvPr>
          <xdr:cNvGrpSpPr/>
        </xdr:nvGrpSpPr>
        <xdr:grpSpPr>
          <a:xfrm>
            <a:off x="6419850" y="200025"/>
            <a:ext cx="280427" cy="200025"/>
            <a:chOff x="5495924" y="2943225"/>
            <a:chExt cx="1362075" cy="971550"/>
          </a:xfrm>
        </xdr:grpSpPr>
        <xdr:sp macro="" textlink="">
          <xdr:nvSpPr>
            <xdr:cNvPr id="16" name="Rectangle: Rounded Corners 15">
              <a:extLst>
                <a:ext uri="{FF2B5EF4-FFF2-40B4-BE49-F238E27FC236}">
                  <a16:creationId xmlns:a16="http://schemas.microsoft.com/office/drawing/2014/main" id="{85B5E584-5604-66FF-2EA0-8639314FC007}"/>
                </a:ext>
              </a:extLst>
            </xdr:cNvPr>
            <xdr:cNvSpPr/>
          </xdr:nvSpPr>
          <xdr:spPr>
            <a:xfrm>
              <a:off x="5495924" y="2943225"/>
              <a:ext cx="1362075" cy="971550"/>
            </a:xfrm>
            <a:prstGeom prst="roundRect">
              <a:avLst>
                <a:gd name="adj" fmla="val 23738"/>
              </a:avLst>
            </a:prstGeom>
            <a:solidFill>
              <a:srgbClr val="FF0000">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7" name="Isosceles Triangle 16">
              <a:extLst>
                <a:ext uri="{FF2B5EF4-FFF2-40B4-BE49-F238E27FC236}">
                  <a16:creationId xmlns:a16="http://schemas.microsoft.com/office/drawing/2014/main" id="{537ACABE-0A61-0304-2488-F1A0CE1B98E2}"/>
                </a:ext>
              </a:extLst>
            </xdr:cNvPr>
            <xdr:cNvSpPr/>
          </xdr:nvSpPr>
          <xdr:spPr>
            <a:xfrm rot="5400000">
              <a:off x="5960961" y="3267000"/>
              <a:ext cx="432000" cy="3240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grpSp>
    <xdr:clientData/>
  </xdr:twoCellAnchor>
</xdr:wsDr>
</file>

<file path=xl/drawings/drawing14.xml><?xml version="1.0" encoding="utf-8"?>
<xdr:wsDr xmlns:xdr="http://schemas.openxmlformats.org/drawingml/2006/spreadsheetDrawing" xmlns:a="http://schemas.openxmlformats.org/drawingml/2006/main">
  <xdr:twoCellAnchor editAs="absolute">
    <xdr:from>
      <xdr:col>8</xdr:col>
      <xdr:colOff>85572</xdr:colOff>
      <xdr:row>0</xdr:row>
      <xdr:rowOff>57151</xdr:rowOff>
    </xdr:from>
    <xdr:to>
      <xdr:col>14</xdr:col>
      <xdr:colOff>7619</xdr:colOff>
      <xdr:row>0</xdr:row>
      <xdr:rowOff>561975</xdr:rowOff>
    </xdr:to>
    <xdr:pic>
      <xdr:nvPicPr>
        <xdr:cNvPr id="2" name="my-online-training-hub-logo-2">
          <a:extLst>
            <a:ext uri="{FF2B5EF4-FFF2-40B4-BE49-F238E27FC236}">
              <a16:creationId xmlns:a16="http://schemas.microsoft.com/office/drawing/2014/main" id="{99EF1E73-70E2-40EC-9403-26F86BC147E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029422" y="57151"/>
          <a:ext cx="3705377" cy="504824"/>
        </a:xfrm>
        <a:prstGeom prst="rect">
          <a:avLst/>
        </a:prstGeom>
      </xdr:spPr>
    </xdr:pic>
    <xdr:clientData/>
  </xdr:twoCellAnchor>
  <xdr:twoCellAnchor editAs="absolute">
    <xdr:from>
      <xdr:col>4</xdr:col>
      <xdr:colOff>104775</xdr:colOff>
      <xdr:row>0</xdr:row>
      <xdr:rowOff>190500</xdr:rowOff>
    </xdr:from>
    <xdr:to>
      <xdr:col>4</xdr:col>
      <xdr:colOff>1266825</xdr:colOff>
      <xdr:row>0</xdr:row>
      <xdr:rowOff>485775</xdr:rowOff>
    </xdr:to>
    <xdr:grpSp>
      <xdr:nvGrpSpPr>
        <xdr:cNvPr id="3" name="Group 2">
          <a:hlinkClick xmlns:r="http://schemas.openxmlformats.org/officeDocument/2006/relationships" r:id="rId3"/>
          <a:extLst>
            <a:ext uri="{FF2B5EF4-FFF2-40B4-BE49-F238E27FC236}">
              <a16:creationId xmlns:a16="http://schemas.microsoft.com/office/drawing/2014/main" id="{C3141BD5-2E63-412A-9FC1-0E28450D0333}"/>
            </a:ext>
          </a:extLst>
        </xdr:cNvPr>
        <xdr:cNvGrpSpPr/>
      </xdr:nvGrpSpPr>
      <xdr:grpSpPr>
        <a:xfrm>
          <a:off x="3122295" y="190500"/>
          <a:ext cx="1162050" cy="295275"/>
          <a:chOff x="4486275" y="142875"/>
          <a:chExt cx="1162050" cy="295275"/>
        </a:xfrm>
      </xdr:grpSpPr>
      <xdr:sp macro="" textlink="">
        <xdr:nvSpPr>
          <xdr:cNvPr id="4" name="Rectangle: Rounded Corners 3">
            <a:extLst>
              <a:ext uri="{FF2B5EF4-FFF2-40B4-BE49-F238E27FC236}">
                <a16:creationId xmlns:a16="http://schemas.microsoft.com/office/drawing/2014/main" id="{5CC922D1-3CCF-923C-2C15-5DF267D9EE07}"/>
              </a:ext>
            </a:extLst>
          </xdr:cNvPr>
          <xdr:cNvSpPr/>
        </xdr:nvSpPr>
        <xdr:spPr>
          <a:xfrm>
            <a:off x="4486275" y="142875"/>
            <a:ext cx="1162050"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read tutorial</a:t>
            </a:r>
          </a:p>
        </xdr:txBody>
      </xdr:sp>
      <xdr:pic>
        <xdr:nvPicPr>
          <xdr:cNvPr id="5" name="Graphic 4" descr="Document">
            <a:extLst>
              <a:ext uri="{FF2B5EF4-FFF2-40B4-BE49-F238E27FC236}">
                <a16:creationId xmlns:a16="http://schemas.microsoft.com/office/drawing/2014/main" id="{027FEAA8-1661-D86D-30F3-87937F13EDA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5391149" y="171449"/>
            <a:ext cx="238126" cy="238126"/>
          </a:xfrm>
          <a:prstGeom prst="rect">
            <a:avLst/>
          </a:prstGeom>
        </xdr:spPr>
      </xdr:pic>
    </xdr:grpSp>
    <xdr:clientData/>
  </xdr:twoCellAnchor>
  <xdr:twoCellAnchor editAs="absolute">
    <xdr:from>
      <xdr:col>4</xdr:col>
      <xdr:colOff>1409699</xdr:colOff>
      <xdr:row>0</xdr:row>
      <xdr:rowOff>190500</xdr:rowOff>
    </xdr:from>
    <xdr:to>
      <xdr:col>5</xdr:col>
      <xdr:colOff>857249</xdr:colOff>
      <xdr:row>0</xdr:row>
      <xdr:rowOff>485775</xdr:rowOff>
    </xdr:to>
    <xdr:grpSp>
      <xdr:nvGrpSpPr>
        <xdr:cNvPr id="6" name="Group 5">
          <a:hlinkClick xmlns:r="http://schemas.openxmlformats.org/officeDocument/2006/relationships" r:id="rId6"/>
          <a:extLst>
            <a:ext uri="{FF2B5EF4-FFF2-40B4-BE49-F238E27FC236}">
              <a16:creationId xmlns:a16="http://schemas.microsoft.com/office/drawing/2014/main" id="{D7427414-C534-4EBE-B9AB-C34B1C9D42CD}"/>
            </a:ext>
          </a:extLst>
        </xdr:cNvPr>
        <xdr:cNvGrpSpPr/>
      </xdr:nvGrpSpPr>
      <xdr:grpSpPr>
        <a:xfrm>
          <a:off x="4427219" y="190500"/>
          <a:ext cx="1413510" cy="295275"/>
          <a:chOff x="5400674" y="152400"/>
          <a:chExt cx="1362075" cy="295275"/>
        </a:xfrm>
      </xdr:grpSpPr>
      <xdr:sp macro="" textlink="">
        <xdr:nvSpPr>
          <xdr:cNvPr id="7" name="Rectangle: Rounded Corners 6">
            <a:extLst>
              <a:ext uri="{FF2B5EF4-FFF2-40B4-BE49-F238E27FC236}">
                <a16:creationId xmlns:a16="http://schemas.microsoft.com/office/drawing/2014/main" id="{5C90E44C-F7DE-D637-DA26-B15B58D8D6C8}"/>
              </a:ext>
            </a:extLst>
          </xdr:cNvPr>
          <xdr:cNvSpPr/>
        </xdr:nvSpPr>
        <xdr:spPr>
          <a:xfrm>
            <a:off x="5400674" y="152400"/>
            <a:ext cx="1362075"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watch tutorial</a:t>
            </a:r>
          </a:p>
        </xdr:txBody>
      </xdr:sp>
      <xdr:grpSp>
        <xdr:nvGrpSpPr>
          <xdr:cNvPr id="8" name="Group 7">
            <a:extLst>
              <a:ext uri="{FF2B5EF4-FFF2-40B4-BE49-F238E27FC236}">
                <a16:creationId xmlns:a16="http://schemas.microsoft.com/office/drawing/2014/main" id="{6EAD212E-46F9-9316-7154-9EEE3174EB32}"/>
              </a:ext>
            </a:extLst>
          </xdr:cNvPr>
          <xdr:cNvGrpSpPr/>
        </xdr:nvGrpSpPr>
        <xdr:grpSpPr>
          <a:xfrm>
            <a:off x="6419850" y="200025"/>
            <a:ext cx="280427" cy="200025"/>
            <a:chOff x="5495924" y="2943225"/>
            <a:chExt cx="1362075" cy="971550"/>
          </a:xfrm>
        </xdr:grpSpPr>
        <xdr:sp macro="" textlink="">
          <xdr:nvSpPr>
            <xdr:cNvPr id="9" name="Rectangle: Rounded Corners 8">
              <a:extLst>
                <a:ext uri="{FF2B5EF4-FFF2-40B4-BE49-F238E27FC236}">
                  <a16:creationId xmlns:a16="http://schemas.microsoft.com/office/drawing/2014/main" id="{FCB0427E-6452-7A96-87FD-683BACC841E6}"/>
                </a:ext>
              </a:extLst>
            </xdr:cNvPr>
            <xdr:cNvSpPr/>
          </xdr:nvSpPr>
          <xdr:spPr>
            <a:xfrm>
              <a:off x="5495924" y="2943225"/>
              <a:ext cx="1362075" cy="971550"/>
            </a:xfrm>
            <a:prstGeom prst="roundRect">
              <a:avLst>
                <a:gd name="adj" fmla="val 23738"/>
              </a:avLst>
            </a:prstGeom>
            <a:solidFill>
              <a:srgbClr val="FF0000">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0" name="Isosceles Triangle 9">
              <a:extLst>
                <a:ext uri="{FF2B5EF4-FFF2-40B4-BE49-F238E27FC236}">
                  <a16:creationId xmlns:a16="http://schemas.microsoft.com/office/drawing/2014/main" id="{8922BB0E-E23A-9176-8334-98FBA3948BB9}"/>
                </a:ext>
              </a:extLst>
            </xdr:cNvPr>
            <xdr:cNvSpPr/>
          </xdr:nvSpPr>
          <xdr:spPr>
            <a:xfrm rot="5400000">
              <a:off x="5960961" y="3267000"/>
              <a:ext cx="432000" cy="3240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grpSp>
    <xdr:clientData/>
  </xdr:twoCellAnchor>
</xdr:wsDr>
</file>

<file path=xl/drawings/drawing15.xml><?xml version="1.0" encoding="utf-8"?>
<xdr:wsDr xmlns:xdr="http://schemas.openxmlformats.org/drawingml/2006/spreadsheetDrawing" xmlns:a="http://schemas.openxmlformats.org/drawingml/2006/main">
  <xdr:twoCellAnchor editAs="absolute">
    <xdr:from>
      <xdr:col>8</xdr:col>
      <xdr:colOff>47472</xdr:colOff>
      <xdr:row>0</xdr:row>
      <xdr:rowOff>57151</xdr:rowOff>
    </xdr:from>
    <xdr:to>
      <xdr:col>13</xdr:col>
      <xdr:colOff>609599</xdr:colOff>
      <xdr:row>0</xdr:row>
      <xdr:rowOff>561975</xdr:rowOff>
    </xdr:to>
    <xdr:pic>
      <xdr:nvPicPr>
        <xdr:cNvPr id="2" name="my-online-training-hub-logo-2">
          <a:extLst>
            <a:ext uri="{FF2B5EF4-FFF2-40B4-BE49-F238E27FC236}">
              <a16:creationId xmlns:a16="http://schemas.microsoft.com/office/drawing/2014/main" id="{4B4521C4-F43C-44ED-9B7D-EB1DFCF298A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029422" y="57151"/>
          <a:ext cx="3705377" cy="504824"/>
        </a:xfrm>
        <a:prstGeom prst="rect">
          <a:avLst/>
        </a:prstGeom>
      </xdr:spPr>
    </xdr:pic>
    <xdr:clientData/>
  </xdr:twoCellAnchor>
  <xdr:twoCellAnchor editAs="absolute">
    <xdr:from>
      <xdr:col>4</xdr:col>
      <xdr:colOff>1009650</xdr:colOff>
      <xdr:row>0</xdr:row>
      <xdr:rowOff>190500</xdr:rowOff>
    </xdr:from>
    <xdr:to>
      <xdr:col>5</xdr:col>
      <xdr:colOff>257175</xdr:colOff>
      <xdr:row>0</xdr:row>
      <xdr:rowOff>485775</xdr:rowOff>
    </xdr:to>
    <xdr:grpSp>
      <xdr:nvGrpSpPr>
        <xdr:cNvPr id="3" name="Group 2">
          <a:hlinkClick xmlns:r="http://schemas.openxmlformats.org/officeDocument/2006/relationships" r:id="rId3"/>
          <a:extLst>
            <a:ext uri="{FF2B5EF4-FFF2-40B4-BE49-F238E27FC236}">
              <a16:creationId xmlns:a16="http://schemas.microsoft.com/office/drawing/2014/main" id="{CA7A3831-4500-4C2C-AFB0-FDE6B22DAF88}"/>
            </a:ext>
          </a:extLst>
        </xdr:cNvPr>
        <xdr:cNvGrpSpPr/>
      </xdr:nvGrpSpPr>
      <xdr:grpSpPr>
        <a:xfrm>
          <a:off x="4065270" y="190500"/>
          <a:ext cx="1213485" cy="295275"/>
          <a:chOff x="4486275" y="142875"/>
          <a:chExt cx="1162050" cy="295275"/>
        </a:xfrm>
      </xdr:grpSpPr>
      <xdr:sp macro="" textlink="">
        <xdr:nvSpPr>
          <xdr:cNvPr id="4" name="Rectangle: Rounded Corners 3">
            <a:extLst>
              <a:ext uri="{FF2B5EF4-FFF2-40B4-BE49-F238E27FC236}">
                <a16:creationId xmlns:a16="http://schemas.microsoft.com/office/drawing/2014/main" id="{19382782-2D81-88ED-1344-080C0DBE4E5C}"/>
              </a:ext>
            </a:extLst>
          </xdr:cNvPr>
          <xdr:cNvSpPr/>
        </xdr:nvSpPr>
        <xdr:spPr>
          <a:xfrm>
            <a:off x="4486275" y="142875"/>
            <a:ext cx="1162050"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read tutorial</a:t>
            </a:r>
          </a:p>
        </xdr:txBody>
      </xdr:sp>
      <xdr:pic>
        <xdr:nvPicPr>
          <xdr:cNvPr id="5" name="Graphic 4" descr="Document">
            <a:extLst>
              <a:ext uri="{FF2B5EF4-FFF2-40B4-BE49-F238E27FC236}">
                <a16:creationId xmlns:a16="http://schemas.microsoft.com/office/drawing/2014/main" id="{3B754180-31E9-B252-DA12-79B8E2F415D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5391149" y="171449"/>
            <a:ext cx="238126" cy="238126"/>
          </a:xfrm>
          <a:prstGeom prst="rect">
            <a:avLst/>
          </a:prstGeom>
        </xdr:spPr>
      </xdr:pic>
    </xdr:grpSp>
    <xdr:clientData/>
  </xdr:twoCellAnchor>
  <xdr:twoCellAnchor editAs="absolute">
    <xdr:from>
      <xdr:col>5</xdr:col>
      <xdr:colOff>400049</xdr:colOff>
      <xdr:row>0</xdr:row>
      <xdr:rowOff>190500</xdr:rowOff>
    </xdr:from>
    <xdr:to>
      <xdr:col>6</xdr:col>
      <xdr:colOff>114299</xdr:colOff>
      <xdr:row>0</xdr:row>
      <xdr:rowOff>485775</xdr:rowOff>
    </xdr:to>
    <xdr:grpSp>
      <xdr:nvGrpSpPr>
        <xdr:cNvPr id="6" name="Group 5">
          <a:hlinkClick xmlns:r="http://schemas.openxmlformats.org/officeDocument/2006/relationships" r:id="rId6"/>
          <a:extLst>
            <a:ext uri="{FF2B5EF4-FFF2-40B4-BE49-F238E27FC236}">
              <a16:creationId xmlns:a16="http://schemas.microsoft.com/office/drawing/2014/main" id="{7AE39BDA-DDD3-4D34-B508-77BFA059C650}"/>
            </a:ext>
          </a:extLst>
        </xdr:cNvPr>
        <xdr:cNvGrpSpPr/>
      </xdr:nvGrpSpPr>
      <xdr:grpSpPr>
        <a:xfrm>
          <a:off x="5421629" y="190500"/>
          <a:ext cx="1405890" cy="295275"/>
          <a:chOff x="5400674" y="152400"/>
          <a:chExt cx="1362075" cy="295275"/>
        </a:xfrm>
      </xdr:grpSpPr>
      <xdr:sp macro="" textlink="">
        <xdr:nvSpPr>
          <xdr:cNvPr id="7" name="Rectangle: Rounded Corners 6">
            <a:extLst>
              <a:ext uri="{FF2B5EF4-FFF2-40B4-BE49-F238E27FC236}">
                <a16:creationId xmlns:a16="http://schemas.microsoft.com/office/drawing/2014/main" id="{2E305D7D-2684-103C-EE24-5CB5F1CAF4E7}"/>
              </a:ext>
            </a:extLst>
          </xdr:cNvPr>
          <xdr:cNvSpPr/>
        </xdr:nvSpPr>
        <xdr:spPr>
          <a:xfrm>
            <a:off x="5400674" y="152400"/>
            <a:ext cx="1362075"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watch tutorial</a:t>
            </a:r>
          </a:p>
        </xdr:txBody>
      </xdr:sp>
      <xdr:grpSp>
        <xdr:nvGrpSpPr>
          <xdr:cNvPr id="8" name="Group 7">
            <a:extLst>
              <a:ext uri="{FF2B5EF4-FFF2-40B4-BE49-F238E27FC236}">
                <a16:creationId xmlns:a16="http://schemas.microsoft.com/office/drawing/2014/main" id="{1C874CB9-D0B9-B88C-1AED-16FDE7FEA2D3}"/>
              </a:ext>
            </a:extLst>
          </xdr:cNvPr>
          <xdr:cNvGrpSpPr/>
        </xdr:nvGrpSpPr>
        <xdr:grpSpPr>
          <a:xfrm>
            <a:off x="6419850" y="200025"/>
            <a:ext cx="280427" cy="200025"/>
            <a:chOff x="5495924" y="2943225"/>
            <a:chExt cx="1362075" cy="971550"/>
          </a:xfrm>
        </xdr:grpSpPr>
        <xdr:sp macro="" textlink="">
          <xdr:nvSpPr>
            <xdr:cNvPr id="9" name="Rectangle: Rounded Corners 8">
              <a:extLst>
                <a:ext uri="{FF2B5EF4-FFF2-40B4-BE49-F238E27FC236}">
                  <a16:creationId xmlns:a16="http://schemas.microsoft.com/office/drawing/2014/main" id="{B2103D6A-2B93-632F-EF59-D83E052F2167}"/>
                </a:ext>
              </a:extLst>
            </xdr:cNvPr>
            <xdr:cNvSpPr/>
          </xdr:nvSpPr>
          <xdr:spPr>
            <a:xfrm>
              <a:off x="5495924" y="2943225"/>
              <a:ext cx="1362075" cy="971550"/>
            </a:xfrm>
            <a:prstGeom prst="roundRect">
              <a:avLst>
                <a:gd name="adj" fmla="val 23738"/>
              </a:avLst>
            </a:prstGeom>
            <a:solidFill>
              <a:srgbClr val="FF0000">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0" name="Isosceles Triangle 9">
              <a:extLst>
                <a:ext uri="{FF2B5EF4-FFF2-40B4-BE49-F238E27FC236}">
                  <a16:creationId xmlns:a16="http://schemas.microsoft.com/office/drawing/2014/main" id="{A67CD6C0-B846-292D-3B9F-8B6CC1361675}"/>
                </a:ext>
              </a:extLst>
            </xdr:cNvPr>
            <xdr:cNvSpPr/>
          </xdr:nvSpPr>
          <xdr:spPr>
            <a:xfrm rot="5400000">
              <a:off x="5960961" y="3267000"/>
              <a:ext cx="432000" cy="3240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grpSp>
    <xdr:clientData/>
  </xdr:twoCellAnchor>
</xdr:wsDr>
</file>

<file path=xl/drawings/drawing16.xml><?xml version="1.0" encoding="utf-8"?>
<xdr:wsDr xmlns:xdr="http://schemas.openxmlformats.org/drawingml/2006/spreadsheetDrawing" xmlns:a="http://schemas.openxmlformats.org/drawingml/2006/main">
  <xdr:twoCellAnchor editAs="absolute">
    <xdr:from>
      <xdr:col>8</xdr:col>
      <xdr:colOff>333222</xdr:colOff>
      <xdr:row>0</xdr:row>
      <xdr:rowOff>57151</xdr:rowOff>
    </xdr:from>
    <xdr:to>
      <xdr:col>12</xdr:col>
      <xdr:colOff>523874</xdr:colOff>
      <xdr:row>0</xdr:row>
      <xdr:rowOff>561975</xdr:rowOff>
    </xdr:to>
    <xdr:pic>
      <xdr:nvPicPr>
        <xdr:cNvPr id="2" name="my-online-training-hub-logo-2">
          <a:extLst>
            <a:ext uri="{FF2B5EF4-FFF2-40B4-BE49-F238E27FC236}">
              <a16:creationId xmlns:a16="http://schemas.microsoft.com/office/drawing/2014/main" id="{044608A6-ED43-4053-9587-A2380856583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029422" y="57151"/>
          <a:ext cx="3705377" cy="504824"/>
        </a:xfrm>
        <a:prstGeom prst="rect">
          <a:avLst/>
        </a:prstGeom>
      </xdr:spPr>
    </xdr:pic>
    <xdr:clientData/>
  </xdr:twoCellAnchor>
  <xdr:twoCellAnchor>
    <xdr:from>
      <xdr:col>8</xdr:col>
      <xdr:colOff>400050</xdr:colOff>
      <xdr:row>4</xdr:row>
      <xdr:rowOff>38100</xdr:rowOff>
    </xdr:from>
    <xdr:to>
      <xdr:col>10</xdr:col>
      <xdr:colOff>866775</xdr:colOff>
      <xdr:row>5</xdr:row>
      <xdr:rowOff>192900</xdr:rowOff>
    </xdr:to>
    <xdr:grpSp>
      <xdr:nvGrpSpPr>
        <xdr:cNvPr id="14" name="Group 13">
          <a:hlinkClick xmlns:r="http://schemas.openxmlformats.org/officeDocument/2006/relationships" r:id="rId3"/>
          <a:extLst>
            <a:ext uri="{FF2B5EF4-FFF2-40B4-BE49-F238E27FC236}">
              <a16:creationId xmlns:a16="http://schemas.microsoft.com/office/drawing/2014/main" id="{9C4E7B05-9E00-0BA1-9C03-A24F40D745E8}"/>
            </a:ext>
          </a:extLst>
        </xdr:cNvPr>
        <xdr:cNvGrpSpPr/>
      </xdr:nvGrpSpPr>
      <xdr:grpSpPr>
        <a:xfrm>
          <a:off x="8317230" y="1295400"/>
          <a:ext cx="2265045" cy="368160"/>
          <a:chOff x="8105447" y="1286203"/>
          <a:chExt cx="2207500" cy="365007"/>
        </a:xfrm>
      </xdr:grpSpPr>
      <xdr:sp macro="" textlink="">
        <xdr:nvSpPr>
          <xdr:cNvPr id="6" name="Rectangle: Rounded Corners 5">
            <a:extLst>
              <a:ext uri="{FF2B5EF4-FFF2-40B4-BE49-F238E27FC236}">
                <a16:creationId xmlns:a16="http://schemas.microsoft.com/office/drawing/2014/main" id="{961DE68E-5A68-0219-C8EF-D46FA8067333}"/>
              </a:ext>
            </a:extLst>
          </xdr:cNvPr>
          <xdr:cNvSpPr/>
        </xdr:nvSpPr>
        <xdr:spPr>
          <a:xfrm>
            <a:off x="8105447" y="1305253"/>
            <a:ext cx="2207500" cy="3149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AU" sz="1100" kern="1200"/>
              <a:t>Learn Conditional Formatting</a:t>
            </a:r>
          </a:p>
        </xdr:txBody>
      </xdr:sp>
      <xdr:pic>
        <xdr:nvPicPr>
          <xdr:cNvPr id="10" name="Graphic 9" descr="Palette with solid fill">
            <a:extLst>
              <a:ext uri="{FF2B5EF4-FFF2-40B4-BE49-F238E27FC236}">
                <a16:creationId xmlns:a16="http://schemas.microsoft.com/office/drawing/2014/main" id="{70A40237-9E32-879A-5AD0-51497573963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134022" y="1286203"/>
            <a:ext cx="362050" cy="365007"/>
          </a:xfrm>
          <a:prstGeom prst="rect">
            <a:avLst/>
          </a:prstGeom>
        </xdr:spPr>
      </xdr:pic>
    </xdr:grpSp>
    <xdr:clientData/>
  </xdr:twoCellAnchor>
  <xdr:twoCellAnchor>
    <xdr:from>
      <xdr:col>8</xdr:col>
      <xdr:colOff>400050</xdr:colOff>
      <xdr:row>1</xdr:row>
      <xdr:rowOff>207150</xdr:rowOff>
    </xdr:from>
    <xdr:to>
      <xdr:col>10</xdr:col>
      <xdr:colOff>866775</xdr:colOff>
      <xdr:row>3</xdr:row>
      <xdr:rowOff>152400</xdr:rowOff>
    </xdr:to>
    <xdr:grpSp>
      <xdr:nvGrpSpPr>
        <xdr:cNvPr id="13" name="Group 12">
          <a:hlinkClick xmlns:r="http://schemas.openxmlformats.org/officeDocument/2006/relationships" r:id="rId6"/>
          <a:extLst>
            <a:ext uri="{FF2B5EF4-FFF2-40B4-BE49-F238E27FC236}">
              <a16:creationId xmlns:a16="http://schemas.microsoft.com/office/drawing/2014/main" id="{9C3F54E2-1F1C-7AD2-50F4-43CB6B88F889}"/>
            </a:ext>
          </a:extLst>
        </xdr:cNvPr>
        <xdr:cNvGrpSpPr/>
      </xdr:nvGrpSpPr>
      <xdr:grpSpPr>
        <a:xfrm>
          <a:off x="8317230" y="824370"/>
          <a:ext cx="2265045" cy="371970"/>
          <a:chOff x="8105447" y="824633"/>
          <a:chExt cx="2207500" cy="365664"/>
        </a:xfrm>
      </xdr:grpSpPr>
      <xdr:sp macro="" textlink="">
        <xdr:nvSpPr>
          <xdr:cNvPr id="4" name="Rectangle: Rounded Corners 3">
            <a:extLst>
              <a:ext uri="{FF2B5EF4-FFF2-40B4-BE49-F238E27FC236}">
                <a16:creationId xmlns:a16="http://schemas.microsoft.com/office/drawing/2014/main" id="{DA375E22-C0ED-A47A-36BE-7F9B621364A2}"/>
              </a:ext>
            </a:extLst>
          </xdr:cNvPr>
          <xdr:cNvSpPr/>
        </xdr:nvSpPr>
        <xdr:spPr>
          <a:xfrm>
            <a:off x="8105447" y="846740"/>
            <a:ext cx="2207500" cy="3149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AU" sz="1100" kern="1200"/>
              <a:t>Learn Tables</a:t>
            </a:r>
          </a:p>
        </xdr:txBody>
      </xdr:sp>
      <xdr:pic>
        <xdr:nvPicPr>
          <xdr:cNvPr id="12" name="Graphic 11" descr="Table with solid fill">
            <a:extLst>
              <a:ext uri="{FF2B5EF4-FFF2-40B4-BE49-F238E27FC236}">
                <a16:creationId xmlns:a16="http://schemas.microsoft.com/office/drawing/2014/main" id="{C10318DC-BEC8-63F8-EBFC-5F07C7CA436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169722" y="824633"/>
            <a:ext cx="362050" cy="365664"/>
          </a:xfrm>
          <a:prstGeom prst="rect">
            <a:avLst/>
          </a:prstGeom>
        </xdr:spPr>
      </xdr:pic>
    </xdr:grpSp>
    <xdr:clientData/>
  </xdr:twoCellAnchor>
  <xdr:twoCellAnchor editAs="absolute">
    <xdr:from>
      <xdr:col>5</xdr:col>
      <xdr:colOff>1638300</xdr:colOff>
      <xdr:row>2</xdr:row>
      <xdr:rowOff>28575</xdr:rowOff>
    </xdr:from>
    <xdr:to>
      <xdr:col>6</xdr:col>
      <xdr:colOff>1133475</xdr:colOff>
      <xdr:row>3</xdr:row>
      <xdr:rowOff>114300</xdr:rowOff>
    </xdr:to>
    <xdr:grpSp>
      <xdr:nvGrpSpPr>
        <xdr:cNvPr id="3" name="Group 2">
          <a:hlinkClick xmlns:r="http://schemas.openxmlformats.org/officeDocument/2006/relationships" r:id="rId9"/>
          <a:extLst>
            <a:ext uri="{FF2B5EF4-FFF2-40B4-BE49-F238E27FC236}">
              <a16:creationId xmlns:a16="http://schemas.microsoft.com/office/drawing/2014/main" id="{2789111B-B551-4A44-91D5-6034057C8E42}"/>
            </a:ext>
          </a:extLst>
        </xdr:cNvPr>
        <xdr:cNvGrpSpPr/>
      </xdr:nvGrpSpPr>
      <xdr:grpSpPr>
        <a:xfrm>
          <a:off x="5295900" y="859155"/>
          <a:ext cx="1209675" cy="299085"/>
          <a:chOff x="4486275" y="142875"/>
          <a:chExt cx="1162050" cy="295275"/>
        </a:xfrm>
      </xdr:grpSpPr>
      <xdr:sp macro="" textlink="">
        <xdr:nvSpPr>
          <xdr:cNvPr id="5" name="Rectangle: Rounded Corners 4">
            <a:extLst>
              <a:ext uri="{FF2B5EF4-FFF2-40B4-BE49-F238E27FC236}">
                <a16:creationId xmlns:a16="http://schemas.microsoft.com/office/drawing/2014/main" id="{E728140B-7D83-2E14-11D7-AA3B10EDCD7C}"/>
              </a:ext>
            </a:extLst>
          </xdr:cNvPr>
          <xdr:cNvSpPr/>
        </xdr:nvSpPr>
        <xdr:spPr>
          <a:xfrm>
            <a:off x="4486275" y="142875"/>
            <a:ext cx="1162050"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read tutorial</a:t>
            </a:r>
          </a:p>
        </xdr:txBody>
      </xdr:sp>
      <xdr:pic>
        <xdr:nvPicPr>
          <xdr:cNvPr id="7" name="Graphic 6" descr="Document">
            <a:extLst>
              <a:ext uri="{FF2B5EF4-FFF2-40B4-BE49-F238E27FC236}">
                <a16:creationId xmlns:a16="http://schemas.microsoft.com/office/drawing/2014/main" id="{E273E061-A60A-191B-FA91-A065574C8B5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5391149" y="171449"/>
            <a:ext cx="238126" cy="238126"/>
          </a:xfrm>
          <a:prstGeom prst="rect">
            <a:avLst/>
          </a:prstGeom>
        </xdr:spPr>
      </xdr:pic>
    </xdr:grpSp>
    <xdr:clientData/>
  </xdr:twoCellAnchor>
  <xdr:twoCellAnchor editAs="absolute">
    <xdr:from>
      <xdr:col>6</xdr:col>
      <xdr:colOff>1276349</xdr:colOff>
      <xdr:row>2</xdr:row>
      <xdr:rowOff>28575</xdr:rowOff>
    </xdr:from>
    <xdr:to>
      <xdr:col>8</xdr:col>
      <xdr:colOff>161924</xdr:colOff>
      <xdr:row>3</xdr:row>
      <xdr:rowOff>114300</xdr:rowOff>
    </xdr:to>
    <xdr:grpSp>
      <xdr:nvGrpSpPr>
        <xdr:cNvPr id="8" name="Group 7">
          <a:hlinkClick xmlns:r="http://schemas.openxmlformats.org/officeDocument/2006/relationships" r:id="rId12"/>
          <a:extLst>
            <a:ext uri="{FF2B5EF4-FFF2-40B4-BE49-F238E27FC236}">
              <a16:creationId xmlns:a16="http://schemas.microsoft.com/office/drawing/2014/main" id="{C5CA34A4-0F78-4C62-9F17-F176CE340134}"/>
            </a:ext>
          </a:extLst>
        </xdr:cNvPr>
        <xdr:cNvGrpSpPr/>
      </xdr:nvGrpSpPr>
      <xdr:grpSpPr>
        <a:xfrm>
          <a:off x="6648449" y="859155"/>
          <a:ext cx="1430655" cy="299085"/>
          <a:chOff x="5400674" y="152400"/>
          <a:chExt cx="1362075" cy="295275"/>
        </a:xfrm>
      </xdr:grpSpPr>
      <xdr:sp macro="" textlink="">
        <xdr:nvSpPr>
          <xdr:cNvPr id="9" name="Rectangle: Rounded Corners 8">
            <a:extLst>
              <a:ext uri="{FF2B5EF4-FFF2-40B4-BE49-F238E27FC236}">
                <a16:creationId xmlns:a16="http://schemas.microsoft.com/office/drawing/2014/main" id="{BD6D111C-BD2C-FE60-BD01-53DE4A84644A}"/>
              </a:ext>
            </a:extLst>
          </xdr:cNvPr>
          <xdr:cNvSpPr/>
        </xdr:nvSpPr>
        <xdr:spPr>
          <a:xfrm>
            <a:off x="5400674" y="152400"/>
            <a:ext cx="1362075"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watch tutorial</a:t>
            </a:r>
          </a:p>
        </xdr:txBody>
      </xdr:sp>
      <xdr:grpSp>
        <xdr:nvGrpSpPr>
          <xdr:cNvPr id="11" name="Group 10">
            <a:extLst>
              <a:ext uri="{FF2B5EF4-FFF2-40B4-BE49-F238E27FC236}">
                <a16:creationId xmlns:a16="http://schemas.microsoft.com/office/drawing/2014/main" id="{F39CB4E6-A980-12AA-880F-EEA04FBFBF00}"/>
              </a:ext>
            </a:extLst>
          </xdr:cNvPr>
          <xdr:cNvGrpSpPr/>
        </xdr:nvGrpSpPr>
        <xdr:grpSpPr>
          <a:xfrm>
            <a:off x="6419850" y="200025"/>
            <a:ext cx="280427" cy="200025"/>
            <a:chOff x="5495924" y="2943225"/>
            <a:chExt cx="1362075" cy="971550"/>
          </a:xfrm>
        </xdr:grpSpPr>
        <xdr:sp macro="" textlink="">
          <xdr:nvSpPr>
            <xdr:cNvPr id="15" name="Rectangle: Rounded Corners 14">
              <a:extLst>
                <a:ext uri="{FF2B5EF4-FFF2-40B4-BE49-F238E27FC236}">
                  <a16:creationId xmlns:a16="http://schemas.microsoft.com/office/drawing/2014/main" id="{0B1585C7-10D4-15ED-E3D1-9767D19C2468}"/>
                </a:ext>
              </a:extLst>
            </xdr:cNvPr>
            <xdr:cNvSpPr/>
          </xdr:nvSpPr>
          <xdr:spPr>
            <a:xfrm>
              <a:off x="5495924" y="2943225"/>
              <a:ext cx="1362075" cy="971550"/>
            </a:xfrm>
            <a:prstGeom prst="roundRect">
              <a:avLst>
                <a:gd name="adj" fmla="val 23738"/>
              </a:avLst>
            </a:prstGeom>
            <a:solidFill>
              <a:srgbClr val="FF0000">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6" name="Isosceles Triangle 15">
              <a:extLst>
                <a:ext uri="{FF2B5EF4-FFF2-40B4-BE49-F238E27FC236}">
                  <a16:creationId xmlns:a16="http://schemas.microsoft.com/office/drawing/2014/main" id="{04ABE990-37AB-EB63-DE86-E12F1583C132}"/>
                </a:ext>
              </a:extLst>
            </xdr:cNvPr>
            <xdr:cNvSpPr/>
          </xdr:nvSpPr>
          <xdr:spPr>
            <a:xfrm rot="5400000">
              <a:off x="5960961" y="3267000"/>
              <a:ext cx="432000" cy="3240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grpSp>
    <xdr:clientData/>
  </xdr:twoCellAnchor>
</xdr:wsDr>
</file>

<file path=xl/drawings/drawing17.xml><?xml version="1.0" encoding="utf-8"?>
<xdr:wsDr xmlns:xdr="http://schemas.openxmlformats.org/drawingml/2006/spreadsheetDrawing" xmlns:a="http://schemas.openxmlformats.org/drawingml/2006/main">
  <xdr:twoCellAnchor editAs="absolute">
    <xdr:from>
      <xdr:col>10</xdr:col>
      <xdr:colOff>523722</xdr:colOff>
      <xdr:row>0</xdr:row>
      <xdr:rowOff>57151</xdr:rowOff>
    </xdr:from>
    <xdr:to>
      <xdr:col>14</xdr:col>
      <xdr:colOff>190499</xdr:colOff>
      <xdr:row>0</xdr:row>
      <xdr:rowOff>561975</xdr:rowOff>
    </xdr:to>
    <xdr:pic>
      <xdr:nvPicPr>
        <xdr:cNvPr id="2" name="my-online-training-hub-logo-2">
          <a:extLst>
            <a:ext uri="{FF2B5EF4-FFF2-40B4-BE49-F238E27FC236}">
              <a16:creationId xmlns:a16="http://schemas.microsoft.com/office/drawing/2014/main" id="{DC1E3626-2C84-4185-AB4D-05F3940900D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9962997" y="57151"/>
          <a:ext cx="3705377" cy="504824"/>
        </a:xfrm>
        <a:prstGeom prst="rect">
          <a:avLst/>
        </a:prstGeom>
      </xdr:spPr>
    </xdr:pic>
    <xdr:clientData/>
  </xdr:twoCellAnchor>
  <xdr:twoCellAnchor>
    <xdr:from>
      <xdr:col>10</xdr:col>
      <xdr:colOff>581025</xdr:colOff>
      <xdr:row>4</xdr:row>
      <xdr:rowOff>40500</xdr:rowOff>
    </xdr:from>
    <xdr:to>
      <xdr:col>13</xdr:col>
      <xdr:colOff>419100</xdr:colOff>
      <xdr:row>5</xdr:row>
      <xdr:rowOff>195300</xdr:rowOff>
    </xdr:to>
    <xdr:grpSp>
      <xdr:nvGrpSpPr>
        <xdr:cNvPr id="3" name="Group 2">
          <a:hlinkClick xmlns:r="http://schemas.openxmlformats.org/officeDocument/2006/relationships" r:id="rId3"/>
          <a:extLst>
            <a:ext uri="{FF2B5EF4-FFF2-40B4-BE49-F238E27FC236}">
              <a16:creationId xmlns:a16="http://schemas.microsoft.com/office/drawing/2014/main" id="{ADFF50E3-FF0D-41C4-ABDE-C86DC36036BE}"/>
            </a:ext>
          </a:extLst>
        </xdr:cNvPr>
        <xdr:cNvGrpSpPr/>
      </xdr:nvGrpSpPr>
      <xdr:grpSpPr>
        <a:xfrm>
          <a:off x="10296525" y="1297800"/>
          <a:ext cx="2276475" cy="368160"/>
          <a:chOff x="8105447" y="1286203"/>
          <a:chExt cx="2207500" cy="365007"/>
        </a:xfrm>
      </xdr:grpSpPr>
      <xdr:sp macro="" textlink="">
        <xdr:nvSpPr>
          <xdr:cNvPr id="4" name="Rectangle: Rounded Corners 3">
            <a:extLst>
              <a:ext uri="{FF2B5EF4-FFF2-40B4-BE49-F238E27FC236}">
                <a16:creationId xmlns:a16="http://schemas.microsoft.com/office/drawing/2014/main" id="{B5AD705A-A4AC-B2D6-6933-B9629D4151FD}"/>
              </a:ext>
            </a:extLst>
          </xdr:cNvPr>
          <xdr:cNvSpPr/>
        </xdr:nvSpPr>
        <xdr:spPr>
          <a:xfrm>
            <a:off x="8105447" y="1305253"/>
            <a:ext cx="2207500" cy="3149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AU" sz="1100" kern="1200"/>
              <a:t>Learn Conditional Formatting</a:t>
            </a:r>
          </a:p>
        </xdr:txBody>
      </xdr:sp>
      <xdr:pic>
        <xdr:nvPicPr>
          <xdr:cNvPr id="5" name="Graphic 4" descr="Palette with solid fill">
            <a:extLst>
              <a:ext uri="{FF2B5EF4-FFF2-40B4-BE49-F238E27FC236}">
                <a16:creationId xmlns:a16="http://schemas.microsoft.com/office/drawing/2014/main" id="{AC2ADF81-7A4D-E8D8-6577-D7C532A10D4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134022" y="1286203"/>
            <a:ext cx="362050" cy="365007"/>
          </a:xfrm>
          <a:prstGeom prst="rect">
            <a:avLst/>
          </a:prstGeom>
        </xdr:spPr>
      </xdr:pic>
    </xdr:grpSp>
    <xdr:clientData/>
  </xdr:twoCellAnchor>
  <xdr:twoCellAnchor>
    <xdr:from>
      <xdr:col>10</xdr:col>
      <xdr:colOff>581025</xdr:colOff>
      <xdr:row>2</xdr:row>
      <xdr:rowOff>0</xdr:rowOff>
    </xdr:from>
    <xdr:to>
      <xdr:col>13</xdr:col>
      <xdr:colOff>419100</xdr:colOff>
      <xdr:row>3</xdr:row>
      <xdr:rowOff>154800</xdr:rowOff>
    </xdr:to>
    <xdr:grpSp>
      <xdr:nvGrpSpPr>
        <xdr:cNvPr id="6" name="Group 5">
          <a:hlinkClick xmlns:r="http://schemas.openxmlformats.org/officeDocument/2006/relationships" r:id="rId6"/>
          <a:extLst>
            <a:ext uri="{FF2B5EF4-FFF2-40B4-BE49-F238E27FC236}">
              <a16:creationId xmlns:a16="http://schemas.microsoft.com/office/drawing/2014/main" id="{B2E6F941-64B3-40BD-8E0F-82821ED5DF57}"/>
            </a:ext>
          </a:extLst>
        </xdr:cNvPr>
        <xdr:cNvGrpSpPr/>
      </xdr:nvGrpSpPr>
      <xdr:grpSpPr>
        <a:xfrm>
          <a:off x="10296525" y="830580"/>
          <a:ext cx="2276475" cy="368160"/>
          <a:chOff x="8105447" y="824633"/>
          <a:chExt cx="2207500" cy="365664"/>
        </a:xfrm>
      </xdr:grpSpPr>
      <xdr:sp macro="" textlink="">
        <xdr:nvSpPr>
          <xdr:cNvPr id="7" name="Rectangle: Rounded Corners 6">
            <a:extLst>
              <a:ext uri="{FF2B5EF4-FFF2-40B4-BE49-F238E27FC236}">
                <a16:creationId xmlns:a16="http://schemas.microsoft.com/office/drawing/2014/main" id="{68663C1B-635A-71E2-4893-28A1C46DC7DB}"/>
              </a:ext>
            </a:extLst>
          </xdr:cNvPr>
          <xdr:cNvSpPr/>
        </xdr:nvSpPr>
        <xdr:spPr>
          <a:xfrm>
            <a:off x="8105447" y="846740"/>
            <a:ext cx="2207500" cy="3149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AU" sz="1100" kern="1200"/>
              <a:t>Learn Tables</a:t>
            </a:r>
          </a:p>
        </xdr:txBody>
      </xdr:sp>
      <xdr:pic>
        <xdr:nvPicPr>
          <xdr:cNvPr id="8" name="Graphic 7" descr="Table with solid fill">
            <a:extLst>
              <a:ext uri="{FF2B5EF4-FFF2-40B4-BE49-F238E27FC236}">
                <a16:creationId xmlns:a16="http://schemas.microsoft.com/office/drawing/2014/main" id="{E7F27CED-DD80-3242-0B67-622078D23D1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169722" y="824633"/>
            <a:ext cx="362050" cy="365664"/>
          </a:xfrm>
          <a:prstGeom prst="rect">
            <a:avLst/>
          </a:prstGeom>
        </xdr:spPr>
      </xdr:pic>
    </xdr:grpSp>
    <xdr:clientData/>
  </xdr:twoCellAnchor>
  <xdr:twoCellAnchor editAs="absolute">
    <xdr:from>
      <xdr:col>7</xdr:col>
      <xdr:colOff>38100</xdr:colOff>
      <xdr:row>2</xdr:row>
      <xdr:rowOff>19050</xdr:rowOff>
    </xdr:from>
    <xdr:to>
      <xdr:col>8</xdr:col>
      <xdr:colOff>533400</xdr:colOff>
      <xdr:row>3</xdr:row>
      <xdr:rowOff>104775</xdr:rowOff>
    </xdr:to>
    <xdr:grpSp>
      <xdr:nvGrpSpPr>
        <xdr:cNvPr id="9" name="Group 8">
          <a:hlinkClick xmlns:r="http://schemas.openxmlformats.org/officeDocument/2006/relationships" r:id="rId9"/>
          <a:extLst>
            <a:ext uri="{FF2B5EF4-FFF2-40B4-BE49-F238E27FC236}">
              <a16:creationId xmlns:a16="http://schemas.microsoft.com/office/drawing/2014/main" id="{28BE257A-2ECE-4D98-BF25-5DA34DA8E5F0}"/>
            </a:ext>
          </a:extLst>
        </xdr:cNvPr>
        <xdr:cNvGrpSpPr/>
      </xdr:nvGrpSpPr>
      <xdr:grpSpPr>
        <a:xfrm>
          <a:off x="7269480" y="849630"/>
          <a:ext cx="1181100" cy="299085"/>
          <a:chOff x="4486275" y="142875"/>
          <a:chExt cx="1162050" cy="295275"/>
        </a:xfrm>
      </xdr:grpSpPr>
      <xdr:sp macro="" textlink="">
        <xdr:nvSpPr>
          <xdr:cNvPr id="10" name="Rectangle: Rounded Corners 9">
            <a:extLst>
              <a:ext uri="{FF2B5EF4-FFF2-40B4-BE49-F238E27FC236}">
                <a16:creationId xmlns:a16="http://schemas.microsoft.com/office/drawing/2014/main" id="{B2E15866-B238-798B-421F-9C0D03DA6A2F}"/>
              </a:ext>
            </a:extLst>
          </xdr:cNvPr>
          <xdr:cNvSpPr/>
        </xdr:nvSpPr>
        <xdr:spPr>
          <a:xfrm>
            <a:off x="4486275" y="142875"/>
            <a:ext cx="1162050"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read tutorial</a:t>
            </a:r>
          </a:p>
        </xdr:txBody>
      </xdr:sp>
      <xdr:pic>
        <xdr:nvPicPr>
          <xdr:cNvPr id="11" name="Graphic 10" descr="Document">
            <a:extLst>
              <a:ext uri="{FF2B5EF4-FFF2-40B4-BE49-F238E27FC236}">
                <a16:creationId xmlns:a16="http://schemas.microsoft.com/office/drawing/2014/main" id="{030B4066-7335-7EFA-319A-C20945F6D19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5391149" y="171449"/>
            <a:ext cx="238126" cy="238126"/>
          </a:xfrm>
          <a:prstGeom prst="rect">
            <a:avLst/>
          </a:prstGeom>
        </xdr:spPr>
      </xdr:pic>
    </xdr:grpSp>
    <xdr:clientData/>
  </xdr:twoCellAnchor>
  <xdr:twoCellAnchor editAs="absolute">
    <xdr:from>
      <xdr:col>8</xdr:col>
      <xdr:colOff>676274</xdr:colOff>
      <xdr:row>2</xdr:row>
      <xdr:rowOff>19050</xdr:rowOff>
    </xdr:from>
    <xdr:to>
      <xdr:col>10</xdr:col>
      <xdr:colOff>295274</xdr:colOff>
      <xdr:row>3</xdr:row>
      <xdr:rowOff>104775</xdr:rowOff>
    </xdr:to>
    <xdr:grpSp>
      <xdr:nvGrpSpPr>
        <xdr:cNvPr id="12" name="Group 11">
          <a:hlinkClick xmlns:r="http://schemas.openxmlformats.org/officeDocument/2006/relationships" r:id="rId12"/>
          <a:extLst>
            <a:ext uri="{FF2B5EF4-FFF2-40B4-BE49-F238E27FC236}">
              <a16:creationId xmlns:a16="http://schemas.microsoft.com/office/drawing/2014/main" id="{0434A387-C56A-4135-94BC-431EF919AD43}"/>
            </a:ext>
          </a:extLst>
        </xdr:cNvPr>
        <xdr:cNvGrpSpPr/>
      </xdr:nvGrpSpPr>
      <xdr:grpSpPr>
        <a:xfrm>
          <a:off x="8593454" y="849630"/>
          <a:ext cx="1417320" cy="299085"/>
          <a:chOff x="5400674" y="152400"/>
          <a:chExt cx="1362075" cy="295275"/>
        </a:xfrm>
      </xdr:grpSpPr>
      <xdr:sp macro="" textlink="">
        <xdr:nvSpPr>
          <xdr:cNvPr id="13" name="Rectangle: Rounded Corners 12">
            <a:extLst>
              <a:ext uri="{FF2B5EF4-FFF2-40B4-BE49-F238E27FC236}">
                <a16:creationId xmlns:a16="http://schemas.microsoft.com/office/drawing/2014/main" id="{BE7AB6B5-4CCC-B899-B7AE-D4AEE6FF259A}"/>
              </a:ext>
            </a:extLst>
          </xdr:cNvPr>
          <xdr:cNvSpPr/>
        </xdr:nvSpPr>
        <xdr:spPr>
          <a:xfrm>
            <a:off x="5400674" y="152400"/>
            <a:ext cx="1362075"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watch tutorial</a:t>
            </a:r>
          </a:p>
        </xdr:txBody>
      </xdr:sp>
      <xdr:grpSp>
        <xdr:nvGrpSpPr>
          <xdr:cNvPr id="14" name="Group 13">
            <a:extLst>
              <a:ext uri="{FF2B5EF4-FFF2-40B4-BE49-F238E27FC236}">
                <a16:creationId xmlns:a16="http://schemas.microsoft.com/office/drawing/2014/main" id="{3C35BD46-B3F0-5835-7E3F-9F7986D7770C}"/>
              </a:ext>
            </a:extLst>
          </xdr:cNvPr>
          <xdr:cNvGrpSpPr/>
        </xdr:nvGrpSpPr>
        <xdr:grpSpPr>
          <a:xfrm>
            <a:off x="6419850" y="200025"/>
            <a:ext cx="280427" cy="200025"/>
            <a:chOff x="5495924" y="2943225"/>
            <a:chExt cx="1362075" cy="971550"/>
          </a:xfrm>
        </xdr:grpSpPr>
        <xdr:sp macro="" textlink="">
          <xdr:nvSpPr>
            <xdr:cNvPr id="15" name="Rectangle: Rounded Corners 14">
              <a:extLst>
                <a:ext uri="{FF2B5EF4-FFF2-40B4-BE49-F238E27FC236}">
                  <a16:creationId xmlns:a16="http://schemas.microsoft.com/office/drawing/2014/main" id="{9987C6C1-0265-52D5-9CBE-F1D8305D65C8}"/>
                </a:ext>
              </a:extLst>
            </xdr:cNvPr>
            <xdr:cNvSpPr/>
          </xdr:nvSpPr>
          <xdr:spPr>
            <a:xfrm>
              <a:off x="5495924" y="2943225"/>
              <a:ext cx="1362075" cy="971550"/>
            </a:xfrm>
            <a:prstGeom prst="roundRect">
              <a:avLst>
                <a:gd name="adj" fmla="val 23738"/>
              </a:avLst>
            </a:prstGeom>
            <a:solidFill>
              <a:srgbClr val="FF0000">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6" name="Isosceles Triangle 15">
              <a:extLst>
                <a:ext uri="{FF2B5EF4-FFF2-40B4-BE49-F238E27FC236}">
                  <a16:creationId xmlns:a16="http://schemas.microsoft.com/office/drawing/2014/main" id="{E3C8264A-BD97-3DEA-15E8-4B622AEEE0A3}"/>
                </a:ext>
              </a:extLst>
            </xdr:cNvPr>
            <xdr:cNvSpPr/>
          </xdr:nvSpPr>
          <xdr:spPr>
            <a:xfrm rot="5400000">
              <a:off x="5960961" y="3267000"/>
              <a:ext cx="432000" cy="3240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grpSp>
    <xdr:clientData/>
  </xdr:twoCellAnchor>
</xdr:wsDr>
</file>

<file path=xl/drawings/drawing18.xml><?xml version="1.0" encoding="utf-8"?>
<xdr:wsDr xmlns:xdr="http://schemas.openxmlformats.org/drawingml/2006/spreadsheetDrawing" xmlns:a="http://schemas.openxmlformats.org/drawingml/2006/main">
  <xdr:oneCellAnchor>
    <xdr:from>
      <xdr:col>2</xdr:col>
      <xdr:colOff>2143125</xdr:colOff>
      <xdr:row>0</xdr:row>
      <xdr:rowOff>66675</xdr:rowOff>
    </xdr:from>
    <xdr:ext cx="3705377" cy="504824"/>
    <xdr:pic>
      <xdr:nvPicPr>
        <xdr:cNvPr id="3" name="my-online-training-hub-logo-2">
          <a:hlinkClick xmlns:r="http://schemas.openxmlformats.org/officeDocument/2006/relationships" r:id="rId1"/>
          <a:extLst>
            <a:ext uri="{FF2B5EF4-FFF2-40B4-BE49-F238E27FC236}">
              <a16:creationId xmlns:a16="http://schemas.microsoft.com/office/drawing/2014/main" id="{472E1EDD-2E48-4D48-83CF-7534C68BE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5495925" y="66675"/>
          <a:ext cx="3705377" cy="504824"/>
        </a:xfrm>
        <a:prstGeom prst="rect">
          <a:avLst/>
        </a:prstGeom>
      </xdr:spPr>
    </xdr:pic>
    <xdr:clientData/>
  </xdr:oneCellAnchor>
  <xdr:twoCellAnchor editAs="oneCell">
    <xdr:from>
      <xdr:col>1</xdr:col>
      <xdr:colOff>0</xdr:colOff>
      <xdr:row>31</xdr:row>
      <xdr:rowOff>166687</xdr:rowOff>
    </xdr:from>
    <xdr:to>
      <xdr:col>1</xdr:col>
      <xdr:colOff>609600</xdr:colOff>
      <xdr:row>35</xdr:row>
      <xdr:rowOff>14287</xdr:rowOff>
    </xdr:to>
    <xdr:pic>
      <xdr:nvPicPr>
        <xdr:cNvPr id="2" name="Picture 1" descr="YouTube Channel">
          <a:hlinkClick xmlns:r="http://schemas.openxmlformats.org/officeDocument/2006/relationships" r:id="rId4"/>
          <a:extLst>
            <a:ext uri="{FF2B5EF4-FFF2-40B4-BE49-F238E27FC236}">
              <a16:creationId xmlns:a16="http://schemas.microsoft.com/office/drawing/2014/main" id="{CAEBEA2D-61B1-8647-9985-591C6D34A7D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bwMode="auto">
        <a:xfrm>
          <a:off x="266700" y="6338887"/>
          <a:ext cx="60960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822325</xdr:colOff>
      <xdr:row>31</xdr:row>
      <xdr:rowOff>166687</xdr:rowOff>
    </xdr:from>
    <xdr:to>
      <xdr:col>1</xdr:col>
      <xdr:colOff>1431925</xdr:colOff>
      <xdr:row>35</xdr:row>
      <xdr:rowOff>14287</xdr:rowOff>
    </xdr:to>
    <xdr:pic>
      <xdr:nvPicPr>
        <xdr:cNvPr id="4" name="Picture 3" descr="LinkedIn Profile">
          <a:hlinkClick xmlns:r="http://schemas.openxmlformats.org/officeDocument/2006/relationships" r:id="rId6"/>
          <a:extLst>
            <a:ext uri="{FF2B5EF4-FFF2-40B4-BE49-F238E27FC236}">
              <a16:creationId xmlns:a16="http://schemas.microsoft.com/office/drawing/2014/main" id="{F7C1EC3B-96BA-10BE-5A67-67780FFD0DB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bwMode="auto">
        <a:xfrm>
          <a:off x="1089025" y="6338887"/>
          <a:ext cx="60960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1644650</xdr:colOff>
      <xdr:row>31</xdr:row>
      <xdr:rowOff>166687</xdr:rowOff>
    </xdr:from>
    <xdr:to>
      <xdr:col>1</xdr:col>
      <xdr:colOff>2254250</xdr:colOff>
      <xdr:row>35</xdr:row>
      <xdr:rowOff>14287</xdr:rowOff>
    </xdr:to>
    <xdr:pic>
      <xdr:nvPicPr>
        <xdr:cNvPr id="5" name="Picture 4" descr="Instagram Profile">
          <a:hlinkClick xmlns:r="http://schemas.openxmlformats.org/officeDocument/2006/relationships" r:id="rId8"/>
          <a:extLst>
            <a:ext uri="{FF2B5EF4-FFF2-40B4-BE49-F238E27FC236}">
              <a16:creationId xmlns:a16="http://schemas.microsoft.com/office/drawing/2014/main" id="{1AA6C5BA-97A4-68A0-66DC-AA339DF89A9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bwMode="auto">
        <a:xfrm>
          <a:off x="1911350" y="6338887"/>
          <a:ext cx="60960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2466975</xdr:colOff>
      <xdr:row>31</xdr:row>
      <xdr:rowOff>180975</xdr:rowOff>
    </xdr:from>
    <xdr:to>
      <xdr:col>1</xdr:col>
      <xdr:colOff>3076575</xdr:colOff>
      <xdr:row>35</xdr:row>
      <xdr:rowOff>28575</xdr:rowOff>
    </xdr:to>
    <xdr:pic>
      <xdr:nvPicPr>
        <xdr:cNvPr id="6" name="Picture 5" descr="Pinterest Profile">
          <a:hlinkClick xmlns:r="http://schemas.openxmlformats.org/officeDocument/2006/relationships" r:id="rId10"/>
          <a:extLst>
            <a:ext uri="{FF2B5EF4-FFF2-40B4-BE49-F238E27FC236}">
              <a16:creationId xmlns:a16="http://schemas.microsoft.com/office/drawing/2014/main" id="{4CE18769-A5D3-6C55-3EC6-5982D0D1EEE9}"/>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bwMode="auto">
        <a:xfrm>
          <a:off x="2733675" y="6353175"/>
          <a:ext cx="60960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203200</xdr:colOff>
      <xdr:row>31</xdr:row>
      <xdr:rowOff>185737</xdr:rowOff>
    </xdr:from>
    <xdr:to>
      <xdr:col>2</xdr:col>
      <xdr:colOff>812800</xdr:colOff>
      <xdr:row>35</xdr:row>
      <xdr:rowOff>33337</xdr:rowOff>
    </xdr:to>
    <xdr:pic>
      <xdr:nvPicPr>
        <xdr:cNvPr id="7" name="Picture 6" descr="TikTok Profile">
          <a:hlinkClick xmlns:r="http://schemas.openxmlformats.org/officeDocument/2006/relationships" r:id="rId12"/>
          <a:extLst>
            <a:ext uri="{FF2B5EF4-FFF2-40B4-BE49-F238E27FC236}">
              <a16:creationId xmlns:a16="http://schemas.microsoft.com/office/drawing/2014/main" id="{9C68A299-60D2-665D-713D-81C71F9B737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bwMode="auto">
        <a:xfrm>
          <a:off x="3556000" y="6357937"/>
          <a:ext cx="60960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1025525</xdr:colOff>
      <xdr:row>31</xdr:row>
      <xdr:rowOff>166687</xdr:rowOff>
    </xdr:from>
    <xdr:to>
      <xdr:col>2</xdr:col>
      <xdr:colOff>1635125</xdr:colOff>
      <xdr:row>35</xdr:row>
      <xdr:rowOff>14287</xdr:rowOff>
    </xdr:to>
    <xdr:pic>
      <xdr:nvPicPr>
        <xdr:cNvPr id="8" name="Picture 7" descr="Facebook Page">
          <a:hlinkClick xmlns:r="http://schemas.openxmlformats.org/officeDocument/2006/relationships" r:id="rId14"/>
          <a:extLst>
            <a:ext uri="{FF2B5EF4-FFF2-40B4-BE49-F238E27FC236}">
              <a16:creationId xmlns:a16="http://schemas.microsoft.com/office/drawing/2014/main" id="{CEF04461-8449-2CB0-FBC7-BD134D0F91BB}"/>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bwMode="auto">
        <a:xfrm>
          <a:off x="4378325" y="6338887"/>
          <a:ext cx="60960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1866899</xdr:colOff>
      <xdr:row>31</xdr:row>
      <xdr:rowOff>172216</xdr:rowOff>
    </xdr:from>
    <xdr:to>
      <xdr:col>2</xdr:col>
      <xdr:colOff>2466975</xdr:colOff>
      <xdr:row>35</xdr:row>
      <xdr:rowOff>10292</xdr:rowOff>
    </xdr:to>
    <xdr:pic>
      <xdr:nvPicPr>
        <xdr:cNvPr id="13" name="Picture 12" descr="A black and white x in a black square&#10;&#10;Description automatically generated">
          <a:hlinkClick xmlns:r="http://schemas.openxmlformats.org/officeDocument/2006/relationships" r:id="rId16"/>
          <a:extLst>
            <a:ext uri="{FF2B5EF4-FFF2-40B4-BE49-F238E27FC236}">
              <a16:creationId xmlns:a16="http://schemas.microsoft.com/office/drawing/2014/main" id="{27E9550A-15C5-1404-FD2A-008F771E9C3C}"/>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5222297" y="6346148"/>
          <a:ext cx="600076" cy="600076"/>
        </a:xfrm>
        <a:prstGeom prst="roundRect">
          <a:avLst>
            <a:gd name="adj" fmla="val 12338"/>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nda Treacy" refreshedDate="45637.481904166663" createdVersion="8" refreshedVersion="8" minRefreshableVersion="3" recordCount="75" xr:uid="{9DDF09ED-F110-4BEE-A73B-EDCBF95FF25C}">
  <cacheSource type="worksheet">
    <worksheetSource name="Table4"/>
  </cacheSource>
  <cacheFields count="4">
    <cacheField name="Year" numFmtId="0">
      <sharedItems containsSemiMixedTypes="0" containsString="0" containsNumber="1" containsInteger="1" minValue="2020" maxValue="2022" count="3">
        <n v="2022"/>
        <n v="2020"/>
        <n v="2021"/>
      </sharedItems>
    </cacheField>
    <cacheField name="Category" numFmtId="0">
      <sharedItems count="4">
        <s v="Components"/>
        <s v="Clothing"/>
        <s v="Bikes"/>
        <s v="Accessories"/>
      </sharedItems>
    </cacheField>
    <cacheField name="Product" numFmtId="0">
      <sharedItems/>
    </cacheField>
    <cacheField name="Sales" numFmtId="4">
      <sharedItems containsSemiMixedTypes="0" containsString="0" containsNumber="1" containsInteger="1" minValue="300" maxValue="63700"/>
    </cacheField>
  </cacheFields>
  <extLst>
    <ext xmlns:x14="http://schemas.microsoft.com/office/spreadsheetml/2009/9/main" uri="{725AE2AE-9491-48be-B2B4-4EB974FC3084}">
      <x14:pivotCacheDefinition pivotCacheId="108348536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13.038784837961" createdVersion="8" refreshedVersion="8" minRefreshableVersion="3" recordCount="75" xr:uid="{53C629C3-9409-4FE8-A77D-B422B3194594}">
  <cacheSource type="worksheet">
    <worksheetSource name="Table1"/>
  </cacheSource>
  <cacheFields count="5">
    <cacheField name="Year" numFmtId="0">
      <sharedItems containsSemiMixedTypes="0" containsString="0" containsNumber="1" containsInteger="1" minValue="2020" maxValue="2022" count="3">
        <n v="2022"/>
        <n v="2020"/>
        <n v="2021"/>
      </sharedItems>
    </cacheField>
    <cacheField name="Category" numFmtId="0">
      <sharedItems count="4">
        <s v="Components"/>
        <s v="Clothing"/>
        <s v="Bikes"/>
        <s v="Accessories"/>
      </sharedItems>
    </cacheField>
    <cacheField name="Product" numFmtId="0">
      <sharedItems/>
    </cacheField>
    <cacheField name="Sales" numFmtId="4">
      <sharedItems containsSemiMixedTypes="0" containsString="0" containsNumber="1" containsInteger="1" minValue="300" maxValue="63700"/>
    </cacheField>
    <cacheField name="% of Total" numFmtId="0" formula="Sales / 798300" databaseField="0"/>
  </cacheFields>
  <extLst>
    <ext xmlns:x14="http://schemas.microsoft.com/office/spreadsheetml/2009/9/main" uri="{725AE2AE-9491-48be-B2B4-4EB974FC3084}">
      <x14:pivotCacheDefinition pivotCacheId="16293882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x v="0"/>
    <x v="0"/>
    <s v="Chains"/>
    <n v="20000"/>
  </r>
  <r>
    <x v="1"/>
    <x v="1"/>
    <s v="Socks"/>
    <n v="3700"/>
  </r>
  <r>
    <x v="0"/>
    <x v="1"/>
    <s v="Bib-Shorts"/>
    <n v="4000"/>
  </r>
  <r>
    <x v="1"/>
    <x v="1"/>
    <s v="Shorts"/>
    <n v="13300"/>
  </r>
  <r>
    <x v="0"/>
    <x v="1"/>
    <s v="Tights"/>
    <n v="36000"/>
  </r>
  <r>
    <x v="1"/>
    <x v="0"/>
    <s v="Handlebars"/>
    <n v="2300"/>
  </r>
  <r>
    <x v="2"/>
    <x v="1"/>
    <s v="Socks"/>
    <n v="2300"/>
  </r>
  <r>
    <x v="2"/>
    <x v="0"/>
    <s v="Brakes"/>
    <n v="3400"/>
  </r>
  <r>
    <x v="2"/>
    <x v="2"/>
    <s v="Mountain Bikes"/>
    <n v="6300"/>
  </r>
  <r>
    <x v="0"/>
    <x v="0"/>
    <s v="Brakes"/>
    <n v="5400"/>
  </r>
  <r>
    <x v="2"/>
    <x v="3"/>
    <s v="Helmets"/>
    <n v="17000"/>
  </r>
  <r>
    <x v="2"/>
    <x v="3"/>
    <s v="Lights"/>
    <n v="21600"/>
  </r>
  <r>
    <x v="2"/>
    <x v="3"/>
    <s v="Locks"/>
    <n v="29800"/>
  </r>
  <r>
    <x v="2"/>
    <x v="0"/>
    <s v="Bottom Brackets"/>
    <n v="1000"/>
  </r>
  <r>
    <x v="1"/>
    <x v="1"/>
    <s v="Jerseys"/>
    <n v="6700"/>
  </r>
  <r>
    <x v="0"/>
    <x v="0"/>
    <s v="Bottom Brackets"/>
    <n v="600"/>
  </r>
  <r>
    <x v="1"/>
    <x v="2"/>
    <s v="Road Bikes"/>
    <n v="3500"/>
  </r>
  <r>
    <x v="0"/>
    <x v="1"/>
    <s v="Jerseys"/>
    <n v="7500"/>
  </r>
  <r>
    <x v="0"/>
    <x v="3"/>
    <s v="Tires and Tubes"/>
    <n v="63700"/>
  </r>
  <r>
    <x v="0"/>
    <x v="2"/>
    <s v="Cargo Bike"/>
    <n v="9300"/>
  </r>
  <r>
    <x v="0"/>
    <x v="2"/>
    <s v="Mountain Bikes"/>
    <n v="8500"/>
  </r>
  <r>
    <x v="0"/>
    <x v="3"/>
    <s v="Bike Racks"/>
    <n v="33700"/>
  </r>
  <r>
    <x v="0"/>
    <x v="1"/>
    <s v="Caps"/>
    <n v="600"/>
  </r>
  <r>
    <x v="1"/>
    <x v="2"/>
    <s v="Mountain Bikes"/>
    <n v="3100"/>
  </r>
  <r>
    <x v="0"/>
    <x v="3"/>
    <s v="Pumps"/>
    <n v="30700"/>
  </r>
  <r>
    <x v="2"/>
    <x v="3"/>
    <s v="Pumps"/>
    <n v="16400"/>
  </r>
  <r>
    <x v="2"/>
    <x v="3"/>
    <s v="Bike Racks"/>
    <n v="22100"/>
  </r>
  <r>
    <x v="0"/>
    <x v="3"/>
    <s v="Helmets"/>
    <n v="34000"/>
  </r>
  <r>
    <x v="1"/>
    <x v="3"/>
    <s v="Pumps"/>
    <n v="700"/>
  </r>
  <r>
    <x v="1"/>
    <x v="1"/>
    <s v="Tights"/>
    <n v="3300"/>
  </r>
  <r>
    <x v="0"/>
    <x v="2"/>
    <s v="Road Bikes"/>
    <n v="16900"/>
  </r>
  <r>
    <x v="0"/>
    <x v="3"/>
    <s v="Lights"/>
    <n v="36700"/>
  </r>
  <r>
    <x v="1"/>
    <x v="3"/>
    <s v="Helmets"/>
    <n v="8300"/>
  </r>
  <r>
    <x v="2"/>
    <x v="1"/>
    <s v="Bib-Shorts"/>
    <n v="2900"/>
  </r>
  <r>
    <x v="1"/>
    <x v="3"/>
    <s v="Tires and Tubes"/>
    <n v="8700"/>
  </r>
  <r>
    <x v="0"/>
    <x v="3"/>
    <s v="Locks"/>
    <n v="35000"/>
  </r>
  <r>
    <x v="2"/>
    <x v="2"/>
    <s v="Road Bikes"/>
    <n v="8300"/>
  </r>
  <r>
    <x v="2"/>
    <x v="0"/>
    <s v="Wheels"/>
    <n v="16700"/>
  </r>
  <r>
    <x v="2"/>
    <x v="2"/>
    <s v="Touring Bikes"/>
    <n v="1800"/>
  </r>
  <r>
    <x v="0"/>
    <x v="1"/>
    <s v="Socks"/>
    <n v="3700"/>
  </r>
  <r>
    <x v="2"/>
    <x v="1"/>
    <s v="Shorts"/>
    <n v="12000"/>
  </r>
  <r>
    <x v="1"/>
    <x v="3"/>
    <s v="Locks"/>
    <n v="10000"/>
  </r>
  <r>
    <x v="1"/>
    <x v="0"/>
    <s v="Bottom Brackets"/>
    <n v="500"/>
  </r>
  <r>
    <x v="0"/>
    <x v="0"/>
    <s v="Wheels"/>
    <n v="21800"/>
  </r>
  <r>
    <x v="2"/>
    <x v="0"/>
    <s v="Chains"/>
    <n v="16400"/>
  </r>
  <r>
    <x v="2"/>
    <x v="1"/>
    <s v="Caps"/>
    <n v="400"/>
  </r>
  <r>
    <x v="1"/>
    <x v="1"/>
    <s v="Vests"/>
    <n v="3300"/>
  </r>
  <r>
    <x v="0"/>
    <x v="0"/>
    <s v="Handlebars"/>
    <n v="5000"/>
  </r>
  <r>
    <x v="2"/>
    <x v="0"/>
    <s v="Handlebars"/>
    <n v="3300"/>
  </r>
  <r>
    <x v="1"/>
    <x v="0"/>
    <s v="Pedals"/>
    <n v="800"/>
  </r>
  <r>
    <x v="2"/>
    <x v="1"/>
    <s v="Gloves"/>
    <n v="15600"/>
  </r>
  <r>
    <x v="2"/>
    <x v="0"/>
    <s v="Pedals"/>
    <n v="1500"/>
  </r>
  <r>
    <x v="0"/>
    <x v="0"/>
    <s v="Pedals"/>
    <n v="6200"/>
  </r>
  <r>
    <x v="0"/>
    <x v="1"/>
    <s v="Gloves"/>
    <n v="27000"/>
  </r>
  <r>
    <x v="2"/>
    <x v="0"/>
    <s v="Saddles"/>
    <n v="2800"/>
  </r>
  <r>
    <x v="2"/>
    <x v="2"/>
    <s v="Cargo Bike"/>
    <n v="6700"/>
  </r>
  <r>
    <x v="1"/>
    <x v="1"/>
    <s v="Gloves"/>
    <n v="13300"/>
  </r>
  <r>
    <x v="2"/>
    <x v="3"/>
    <s v="Tires and Tubes"/>
    <n v="13800"/>
  </r>
  <r>
    <x v="0"/>
    <x v="1"/>
    <s v="Vests"/>
    <n v="2400"/>
  </r>
  <r>
    <x v="1"/>
    <x v="3"/>
    <s v="Bike Racks"/>
    <n v="300"/>
  </r>
  <r>
    <x v="1"/>
    <x v="0"/>
    <s v="Saddles"/>
    <n v="2100"/>
  </r>
  <r>
    <x v="1"/>
    <x v="0"/>
    <s v="Brakes"/>
    <n v="2300"/>
  </r>
  <r>
    <x v="1"/>
    <x v="0"/>
    <s v="Wheels"/>
    <n v="10000"/>
  </r>
  <r>
    <x v="1"/>
    <x v="2"/>
    <s v="Touring Bikes"/>
    <n v="500"/>
  </r>
  <r>
    <x v="2"/>
    <x v="1"/>
    <s v="Jerseys"/>
    <n v="3800"/>
  </r>
  <r>
    <x v="1"/>
    <x v="2"/>
    <s v="Cargo Bike"/>
    <n v="3200"/>
  </r>
  <r>
    <x v="0"/>
    <x v="1"/>
    <s v="Shorts"/>
    <n v="23000"/>
  </r>
  <r>
    <x v="1"/>
    <x v="1"/>
    <s v="Bib-Shorts"/>
    <n v="700"/>
  </r>
  <r>
    <x v="1"/>
    <x v="3"/>
    <s v="Lights"/>
    <n v="1300"/>
  </r>
  <r>
    <x v="2"/>
    <x v="1"/>
    <s v="Vests"/>
    <n v="1300"/>
  </r>
  <r>
    <x v="2"/>
    <x v="1"/>
    <s v="Tights"/>
    <n v="22100"/>
  </r>
  <r>
    <x v="0"/>
    <x v="0"/>
    <s v="Saddles"/>
    <n v="3100"/>
  </r>
  <r>
    <x v="1"/>
    <x v="1"/>
    <s v="Caps"/>
    <n v="500"/>
  </r>
  <r>
    <x v="0"/>
    <x v="2"/>
    <s v="Touring Bikes"/>
    <n v="3100"/>
  </r>
  <r>
    <x v="1"/>
    <x v="0"/>
    <s v="Chains"/>
    <n v="87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x v="0"/>
    <x v="0"/>
    <s v="Chains"/>
    <n v="20000"/>
  </r>
  <r>
    <x v="1"/>
    <x v="1"/>
    <s v="Socks"/>
    <n v="3700"/>
  </r>
  <r>
    <x v="0"/>
    <x v="1"/>
    <s v="Bib-Shorts"/>
    <n v="4000"/>
  </r>
  <r>
    <x v="1"/>
    <x v="1"/>
    <s v="Shorts"/>
    <n v="13300"/>
  </r>
  <r>
    <x v="0"/>
    <x v="1"/>
    <s v="Tights"/>
    <n v="36000"/>
  </r>
  <r>
    <x v="1"/>
    <x v="0"/>
    <s v="Handlebars"/>
    <n v="2300"/>
  </r>
  <r>
    <x v="2"/>
    <x v="1"/>
    <s v="Socks"/>
    <n v="2300"/>
  </r>
  <r>
    <x v="2"/>
    <x v="0"/>
    <s v="Brakes"/>
    <n v="3400"/>
  </r>
  <r>
    <x v="2"/>
    <x v="2"/>
    <s v="Mountain Bikes"/>
    <n v="6300"/>
  </r>
  <r>
    <x v="0"/>
    <x v="0"/>
    <s v="Brakes"/>
    <n v="5400"/>
  </r>
  <r>
    <x v="2"/>
    <x v="3"/>
    <s v="Helmets"/>
    <n v="17000"/>
  </r>
  <r>
    <x v="2"/>
    <x v="3"/>
    <s v="Lights"/>
    <n v="21600"/>
  </r>
  <r>
    <x v="2"/>
    <x v="3"/>
    <s v="Locks"/>
    <n v="29800"/>
  </r>
  <r>
    <x v="2"/>
    <x v="0"/>
    <s v="Bottom Brackets"/>
    <n v="1000"/>
  </r>
  <r>
    <x v="1"/>
    <x v="1"/>
    <s v="Jerseys"/>
    <n v="6700"/>
  </r>
  <r>
    <x v="0"/>
    <x v="0"/>
    <s v="Bottom Brackets"/>
    <n v="600"/>
  </r>
  <r>
    <x v="1"/>
    <x v="2"/>
    <s v="Road Bikes"/>
    <n v="3500"/>
  </r>
  <r>
    <x v="0"/>
    <x v="1"/>
    <s v="Jerseys"/>
    <n v="7500"/>
  </r>
  <r>
    <x v="0"/>
    <x v="3"/>
    <s v="Tires and Tubes"/>
    <n v="63700"/>
  </r>
  <r>
    <x v="0"/>
    <x v="2"/>
    <s v="Cargo Bike"/>
    <n v="9300"/>
  </r>
  <r>
    <x v="0"/>
    <x v="2"/>
    <s v="Mountain Bikes"/>
    <n v="8500"/>
  </r>
  <r>
    <x v="0"/>
    <x v="3"/>
    <s v="Bike Racks"/>
    <n v="33700"/>
  </r>
  <r>
    <x v="0"/>
    <x v="1"/>
    <s v="Caps"/>
    <n v="600"/>
  </r>
  <r>
    <x v="1"/>
    <x v="2"/>
    <s v="Mountain Bikes"/>
    <n v="3100"/>
  </r>
  <r>
    <x v="0"/>
    <x v="3"/>
    <s v="Pumps"/>
    <n v="30700"/>
  </r>
  <r>
    <x v="2"/>
    <x v="3"/>
    <s v="Pumps"/>
    <n v="16400"/>
  </r>
  <r>
    <x v="2"/>
    <x v="3"/>
    <s v="Bike Racks"/>
    <n v="22100"/>
  </r>
  <r>
    <x v="0"/>
    <x v="3"/>
    <s v="Helmets"/>
    <n v="34000"/>
  </r>
  <r>
    <x v="1"/>
    <x v="3"/>
    <s v="Pumps"/>
    <n v="700"/>
  </r>
  <r>
    <x v="1"/>
    <x v="1"/>
    <s v="Tights"/>
    <n v="3300"/>
  </r>
  <r>
    <x v="0"/>
    <x v="2"/>
    <s v="Road Bikes"/>
    <n v="16900"/>
  </r>
  <r>
    <x v="0"/>
    <x v="3"/>
    <s v="Lights"/>
    <n v="36700"/>
  </r>
  <r>
    <x v="1"/>
    <x v="3"/>
    <s v="Helmets"/>
    <n v="8300"/>
  </r>
  <r>
    <x v="2"/>
    <x v="1"/>
    <s v="Bib-Shorts"/>
    <n v="2900"/>
  </r>
  <r>
    <x v="1"/>
    <x v="3"/>
    <s v="Tires and Tubes"/>
    <n v="8700"/>
  </r>
  <r>
    <x v="0"/>
    <x v="3"/>
    <s v="Locks"/>
    <n v="35000"/>
  </r>
  <r>
    <x v="2"/>
    <x v="2"/>
    <s v="Road Bikes"/>
    <n v="8300"/>
  </r>
  <r>
    <x v="2"/>
    <x v="0"/>
    <s v="Wheels"/>
    <n v="16700"/>
  </r>
  <r>
    <x v="2"/>
    <x v="2"/>
    <s v="Touring Bikes"/>
    <n v="1800"/>
  </r>
  <r>
    <x v="0"/>
    <x v="1"/>
    <s v="Socks"/>
    <n v="3700"/>
  </r>
  <r>
    <x v="2"/>
    <x v="1"/>
    <s v="Shorts"/>
    <n v="12000"/>
  </r>
  <r>
    <x v="1"/>
    <x v="3"/>
    <s v="Locks"/>
    <n v="10000"/>
  </r>
  <r>
    <x v="1"/>
    <x v="0"/>
    <s v="Bottom Brackets"/>
    <n v="500"/>
  </r>
  <r>
    <x v="0"/>
    <x v="0"/>
    <s v="Wheels"/>
    <n v="21800"/>
  </r>
  <r>
    <x v="2"/>
    <x v="0"/>
    <s v="Chains"/>
    <n v="16400"/>
  </r>
  <r>
    <x v="2"/>
    <x v="1"/>
    <s v="Caps"/>
    <n v="400"/>
  </r>
  <r>
    <x v="1"/>
    <x v="1"/>
    <s v="Vests"/>
    <n v="3300"/>
  </r>
  <r>
    <x v="0"/>
    <x v="0"/>
    <s v="Handlebars"/>
    <n v="5000"/>
  </r>
  <r>
    <x v="2"/>
    <x v="0"/>
    <s v="Handlebars"/>
    <n v="3300"/>
  </r>
  <r>
    <x v="1"/>
    <x v="0"/>
    <s v="Pedals"/>
    <n v="800"/>
  </r>
  <r>
    <x v="2"/>
    <x v="1"/>
    <s v="Gloves"/>
    <n v="15600"/>
  </r>
  <r>
    <x v="2"/>
    <x v="0"/>
    <s v="Pedals"/>
    <n v="1500"/>
  </r>
  <r>
    <x v="0"/>
    <x v="0"/>
    <s v="Pedals"/>
    <n v="6200"/>
  </r>
  <r>
    <x v="0"/>
    <x v="1"/>
    <s v="Gloves"/>
    <n v="27000"/>
  </r>
  <r>
    <x v="2"/>
    <x v="0"/>
    <s v="Saddles"/>
    <n v="2800"/>
  </r>
  <r>
    <x v="2"/>
    <x v="2"/>
    <s v="Cargo Bike"/>
    <n v="6700"/>
  </r>
  <r>
    <x v="1"/>
    <x v="1"/>
    <s v="Gloves"/>
    <n v="13300"/>
  </r>
  <r>
    <x v="2"/>
    <x v="3"/>
    <s v="Tires and Tubes"/>
    <n v="13800"/>
  </r>
  <r>
    <x v="0"/>
    <x v="1"/>
    <s v="Vests"/>
    <n v="2400"/>
  </r>
  <r>
    <x v="1"/>
    <x v="3"/>
    <s v="Bike Racks"/>
    <n v="300"/>
  </r>
  <r>
    <x v="1"/>
    <x v="0"/>
    <s v="Saddles"/>
    <n v="2100"/>
  </r>
  <r>
    <x v="1"/>
    <x v="0"/>
    <s v="Brakes"/>
    <n v="2300"/>
  </r>
  <r>
    <x v="1"/>
    <x v="0"/>
    <s v="Wheels"/>
    <n v="10000"/>
  </r>
  <r>
    <x v="1"/>
    <x v="2"/>
    <s v="Touring Bikes"/>
    <n v="500"/>
  </r>
  <r>
    <x v="2"/>
    <x v="1"/>
    <s v="Jerseys"/>
    <n v="3800"/>
  </r>
  <r>
    <x v="1"/>
    <x v="2"/>
    <s v="Cargo Bike"/>
    <n v="3200"/>
  </r>
  <r>
    <x v="0"/>
    <x v="1"/>
    <s v="Shorts"/>
    <n v="23000"/>
  </r>
  <r>
    <x v="1"/>
    <x v="1"/>
    <s v="Bib-Shorts"/>
    <n v="700"/>
  </r>
  <r>
    <x v="1"/>
    <x v="3"/>
    <s v="Lights"/>
    <n v="1300"/>
  </r>
  <r>
    <x v="2"/>
    <x v="1"/>
    <s v="Vests"/>
    <n v="1300"/>
  </r>
  <r>
    <x v="2"/>
    <x v="1"/>
    <s v="Tights"/>
    <n v="22100"/>
  </r>
  <r>
    <x v="0"/>
    <x v="0"/>
    <s v="Saddles"/>
    <n v="3100"/>
  </r>
  <r>
    <x v="1"/>
    <x v="1"/>
    <s v="Caps"/>
    <n v="500"/>
  </r>
  <r>
    <x v="0"/>
    <x v="2"/>
    <s v="Touring Bikes"/>
    <n v="3100"/>
  </r>
  <r>
    <x v="1"/>
    <x v="0"/>
    <s v="Chains"/>
    <n v="87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EC71FD-BDFD-472E-A87E-A26E20E8A5A2}"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8:I13" firstHeaderRow="0" firstDataRow="1" firstDataCol="1"/>
  <pivotFields count="5">
    <pivotField showAll="0">
      <items count="4">
        <item x="1"/>
        <item x="2"/>
        <item x="0"/>
        <item t="default"/>
      </items>
    </pivotField>
    <pivotField axis="axisRow" showAll="0">
      <items count="5">
        <item x="3"/>
        <item x="2"/>
        <item x="1"/>
        <item x="0"/>
        <item t="default"/>
      </items>
    </pivotField>
    <pivotField showAll="0"/>
    <pivotField dataField="1" numFmtId="4" showAll="0"/>
    <pivotField dataField="1" dragToRow="0" dragToCol="0" dragToPage="0" showAll="0" defaultSubtotal="0"/>
  </pivotFields>
  <rowFields count="1">
    <field x="1"/>
  </rowFields>
  <rowItems count="5">
    <i>
      <x/>
    </i>
    <i>
      <x v="1"/>
    </i>
    <i>
      <x v="2"/>
    </i>
    <i>
      <x v="3"/>
    </i>
    <i t="grand">
      <x/>
    </i>
  </rowItems>
  <colFields count="1">
    <field x="-2"/>
  </colFields>
  <colItems count="2">
    <i>
      <x/>
    </i>
    <i i="1">
      <x v="1"/>
    </i>
  </colItems>
  <dataFields count="2">
    <dataField name="Sum of Sales" fld="3" baseField="0" baseItem="0" numFmtId="4"/>
    <dataField name="Sum of % of Total"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7359A4-B166-427E-9C5C-4F1589346A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8:I13" firstHeaderRow="0" firstDataRow="1" firstDataCol="1"/>
  <pivotFields count="4">
    <pivotField showAll="0">
      <items count="4">
        <item x="1"/>
        <item x="2"/>
        <item x="0"/>
        <item t="default"/>
      </items>
    </pivotField>
    <pivotField axis="axisRow" showAll="0">
      <items count="5">
        <item x="3"/>
        <item x="2"/>
        <item x="1"/>
        <item x="0"/>
        <item t="default"/>
      </items>
    </pivotField>
    <pivotField showAll="0"/>
    <pivotField dataField="1" numFmtId="4" showAll="0"/>
  </pivotFields>
  <rowFields count="1">
    <field x="1"/>
  </rowFields>
  <rowItems count="5">
    <i>
      <x/>
    </i>
    <i>
      <x v="1"/>
    </i>
    <i>
      <x v="2"/>
    </i>
    <i>
      <x v="3"/>
    </i>
    <i t="grand">
      <x/>
    </i>
  </rowItems>
  <colFields count="1">
    <field x="-2"/>
  </colFields>
  <colItems count="2">
    <i>
      <x/>
    </i>
    <i i="1">
      <x v="1"/>
    </i>
  </colItems>
  <dataFields count="2">
    <dataField name="Sum of Sales" fld="3" baseField="0" baseItem="0" numFmtId="4"/>
    <dataField name="% of Total" fld="3" showDataAs="percentOfTotal" baseField="0" baseItem="0" numFmtId="10"/>
  </dataFields>
  <formats count="2">
    <format dxfId="27">
      <pivotArea dataOnly="0" labelOnly="1" outline="0" fieldPosition="0">
        <references count="1">
          <reference field="4294967294" count="1">
            <x v="1"/>
          </reference>
        </references>
      </pivotArea>
    </format>
    <format dxfId="26">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5DB3C262-A2FB-45F2-81B6-76A9519B9C30}" sourceName="Year">
  <pivotTables>
    <pivotTable tabId="24" name="PivotTable1"/>
  </pivotTables>
  <data>
    <tabular pivotCacheId="108348536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88E42F6-C0B6-4475-A905-A78819FDFD30}" sourceName="Year">
  <pivotTables>
    <pivotTable tabId="13" name="PivotTable2"/>
  </pivotTables>
  <data>
    <tabular pivotCacheId="162938821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3A645C1-B9E5-4051-BF25-06DCCCAEAC46}"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F18E1742-B0C8-4031-AF4A-C273CADE326F}" cache="Slicer_Year1"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9816BC-99A5-444B-A2A8-8A82203944CF}" name="Table1" displayName="Table1" ref="B8:E83" totalsRowShown="0">
  <autoFilter ref="B8:E83" xr:uid="{DB9816BC-99A5-444B-A2A8-8A82203944CF}"/>
  <tableColumns count="4">
    <tableColumn id="1" xr3:uid="{AB7F531E-3B56-425C-B2D7-F001F1487807}" name="Year"/>
    <tableColumn id="2" xr3:uid="{12C583E8-BF6C-43F4-87C7-CBF19190CD06}" name="Category"/>
    <tableColumn id="3" xr3:uid="{B135306F-FAB0-4947-9BCD-D5CC2F69480E}" name="Product"/>
    <tableColumn id="4" xr3:uid="{53C8A46D-AD5A-4D95-B03B-D5ED4D46BFC4}" name="Sales"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B36CB7-FEDB-434B-B70A-4C79CBFEE2A8}" name="Table4" displayName="Table4" ref="B8:E83" totalsRowShown="0" headerRowDxfId="25">
  <autoFilter ref="B8:E83" xr:uid="{BC62C876-57FA-4310-B7C4-CDC87B2C76B2}"/>
  <tableColumns count="4">
    <tableColumn id="1" xr3:uid="{B538AB13-A99B-4D93-9820-9CD019A96608}" name="Year" dataDxfId="24"/>
    <tableColumn id="2" xr3:uid="{4F748432-C0E8-447F-B709-7F4A4AEACFC7}" name="Category" dataDxfId="23"/>
    <tableColumn id="3" xr3:uid="{2F8C3874-5DA4-4D67-B627-73CBC97BC875}" name="Product" dataDxfId="22"/>
    <tableColumn id="4" xr3:uid="{1DB7DD29-5113-4EFD-ACA9-E37C6980C806}" name="Sales" dataDxfId="2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F7BE6C7-90ED-4DBE-A131-27868026FEF5}" name="Table6" displayName="Table6" ref="B6:F26" totalsRowShown="0" headerRowDxfId="6" dataDxfId="5">
  <autoFilter ref="B6:F26" xr:uid="{6F7BE6C7-90ED-4DBE-A131-27868026FEF5}">
    <filterColumn colId="4">
      <colorFilter dxfId="7"/>
    </filterColumn>
  </autoFilter>
  <tableColumns count="5">
    <tableColumn id="1" xr3:uid="{2102A12B-C9F2-4F7A-AFDD-5C8DA7ABE905}" name="Product ID" dataDxfId="4"/>
    <tableColumn id="2" xr3:uid="{E9E76A36-6B9B-4F76-937E-12A8CF1C23AD}" name="Product Name" dataDxfId="3"/>
    <tableColumn id="3" xr3:uid="{5752BD71-A26C-4E4D-94D9-FCACC2DFA24B}" name="Price" dataDxfId="2"/>
    <tableColumn id="4" xr3:uid="{EE8BC031-5AC1-452F-B94C-7FF1B4AD5325}" name="Stock" dataDxfId="1"/>
    <tableColumn id="5" xr3:uid="{3F71571C-E14E-455A-ABFC-496503FB969C}" name="Concatenated Data" dataDxfId="0">
      <calculatedColumnFormula>_xlfn.TEXTJOIN(",",TRUE,Table6[[#This Row],[Product ID]:[Stock]])</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064AE10-0157-4579-8906-0023CB22E13E}" name="Table5" displayName="Table5" ref="B6:G26" totalsRowShown="0" headerRowDxfId="20" dataDxfId="19">
  <autoFilter ref="B6:G26" xr:uid="{EBE64CBA-EA80-4672-AAF4-10F80504C3E4}">
    <filterColumn colId="4">
      <colorFilter dxfId="18"/>
    </filterColumn>
  </autoFilter>
  <tableColumns count="6">
    <tableColumn id="1" xr3:uid="{3CA854E4-6A53-4338-AAF1-69AB18DA6AD5}" name="Product ID" dataDxfId="17"/>
    <tableColumn id="2" xr3:uid="{6AC50974-D258-4BF1-BA8C-EEC7D9DBF3D8}" name="Product Name" dataDxfId="16"/>
    <tableColumn id="3" xr3:uid="{844DA8BC-FA2A-4BC7-81FD-8AECB33AB7C6}" name="Price" dataDxfId="15"/>
    <tableColumn id="4" xr3:uid="{F5CBB0EC-5BD8-46C7-B251-522D68F44F78}" name="Stock" dataDxfId="14"/>
    <tableColumn id="5" xr3:uid="{D14CEE75-D63C-4B45-B675-B53B1B17674C}" name="Concatenated Data" dataDxfId="13">
      <calculatedColumnFormula>_xlfn.TEXTJOIN(",",TRUE,Table5[[#This Row],[Product ID]:[Stock]])</calculatedColumnFormula>
    </tableColumn>
    <tableColumn id="6" xr3:uid="{DF6A1E19-C28D-4B2E-AEC9-27AEB5055AC7}" name="Concatenated Data Alt." dataDxfId="12">
      <calculatedColumnFormula>_xlfn.CONCAT(Table5[[#This Row],[Product ID]:[Stock]])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1.bin"/><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2.bin"/><Relationship Id="rId1" Type="http://schemas.openxmlformats.org/officeDocument/2006/relationships/pivotTable" Target="../pivotTables/pivotTable2.xml"/><Relationship Id="rId5" Type="http://schemas.microsoft.com/office/2007/relationships/slicer" Target="../slicers/slicer2.xml"/><Relationship Id="rId4" Type="http://schemas.openxmlformats.org/officeDocument/2006/relationships/table" Target="../tables/table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https://www.myonlinetraininghub.com/excel-expert-upgrade" TargetMode="External"/><Relationship Id="rId13" Type="http://schemas.openxmlformats.org/officeDocument/2006/relationships/hyperlink" Target="https://www.myonlinetraininghub.com/power-pivot-course" TargetMode="External"/><Relationship Id="rId18" Type="http://schemas.openxmlformats.org/officeDocument/2006/relationships/hyperlink" Target="https://www.myonlinetraininghub.com/excel-operations-management-course" TargetMode="External"/><Relationship Id="rId3" Type="http://schemas.openxmlformats.org/officeDocument/2006/relationships/hyperlink" Target="https://www.myonlinetraininghub.com/power-bi-course" TargetMode="External"/><Relationship Id="rId21" Type="http://schemas.openxmlformats.org/officeDocument/2006/relationships/drawing" Target="../drawings/drawing18.xml"/><Relationship Id="rId7" Type="http://schemas.openxmlformats.org/officeDocument/2006/relationships/hyperlink" Target="https://www.myonlinetraininghub.com/excel-functions" TargetMode="External"/><Relationship Id="rId12" Type="http://schemas.openxmlformats.org/officeDocument/2006/relationships/hyperlink" Target="https://www.myonlinetraininghub.com/excel-pivottable-course" TargetMode="External"/><Relationship Id="rId17" Type="http://schemas.openxmlformats.org/officeDocument/2006/relationships/hyperlink" Target="https://www.myonlinetraininghub.com/excel-for-customer-service-professionals" TargetMode="External"/><Relationship Id="rId2" Type="http://schemas.openxmlformats.org/officeDocument/2006/relationships/hyperlink" Target="http://www.myonlinetraininghub.com/category/excel-dashboard" TargetMode="External"/><Relationship Id="rId16" Type="http://schemas.openxmlformats.org/officeDocument/2006/relationships/hyperlink" Target="https://www.myonlinetraininghub.com/excel-analysis-toolpak-course" TargetMode="External"/><Relationship Id="rId20" Type="http://schemas.openxmlformats.org/officeDocument/2006/relationships/hyperlink" Target="https://www.myonlinetraininghub.com/microsoft-word-course" TargetMode="External"/><Relationship Id="rId1" Type="http://schemas.openxmlformats.org/officeDocument/2006/relationships/hyperlink" Target="http://www.myonlinetraininghub.com/category/excel-charts" TargetMode="External"/><Relationship Id="rId6" Type="http://schemas.openxmlformats.org/officeDocument/2006/relationships/hyperlink" Target="https://www.myonlinetraininghub.com/excel-dashboard-course" TargetMode="External"/><Relationship Id="rId11" Type="http://schemas.openxmlformats.org/officeDocument/2006/relationships/hyperlink" Target="https://www.myonlinetraininghub.com/excel-pivottable-course-quick-start" TargetMode="External"/><Relationship Id="rId5" Type="http://schemas.openxmlformats.org/officeDocument/2006/relationships/hyperlink" Target="https://www.myonlinetraininghub.com/excel-forum" TargetMode="External"/><Relationship Id="rId15" Type="http://schemas.openxmlformats.org/officeDocument/2006/relationships/hyperlink" Target="https://www.myonlinetraininghub.com/excel-for-finance-course" TargetMode="External"/><Relationship Id="rId10" Type="http://schemas.openxmlformats.org/officeDocument/2006/relationships/hyperlink" Target="https://www.myonlinetraininghub.com/excel-power-query-course" TargetMode="External"/><Relationship Id="rId19" Type="http://schemas.openxmlformats.org/officeDocument/2006/relationships/hyperlink" Target="https://www.myonlinetraininghub.com/financial-modelling-course" TargetMode="External"/><Relationship Id="rId4" Type="http://schemas.openxmlformats.org/officeDocument/2006/relationships/hyperlink" Target="http://www.myonlinetraininghub.com/excel-webinars" TargetMode="External"/><Relationship Id="rId9" Type="http://schemas.openxmlformats.org/officeDocument/2006/relationships/hyperlink" Target="https://www.myonlinetraininghub.com/advanced-excel-formulas-course" TargetMode="External"/><Relationship Id="rId14" Type="http://schemas.openxmlformats.org/officeDocument/2006/relationships/hyperlink" Target="https://www.myonlinetraininghub.com/excel-for-decision-making-cour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A8689-294F-425B-92D5-0A64A793B10E}">
  <dimension ref="A1:Q30"/>
  <sheetViews>
    <sheetView showGridLines="0" showRowColHeaders="0" workbookViewId="0"/>
  </sheetViews>
  <sheetFormatPr defaultColWidth="0" defaultRowHeight="14.4" zeroHeight="1" x14ac:dyDescent="0.3"/>
  <cols>
    <col min="1" max="1" width="4.88671875" customWidth="1"/>
    <col min="2" max="17" width="9.109375" customWidth="1"/>
    <col min="18" max="16384" width="9.109375" hidden="1"/>
  </cols>
  <sheetData>
    <row r="1" spans="1:17" ht="52.5" customHeight="1" x14ac:dyDescent="0.3">
      <c r="A1" s="7"/>
      <c r="B1" s="7" t="s">
        <v>0</v>
      </c>
      <c r="C1" s="7"/>
      <c r="D1" s="7"/>
      <c r="E1" s="7"/>
      <c r="F1" s="7"/>
      <c r="G1" s="7"/>
      <c r="H1" s="7"/>
      <c r="I1" s="7"/>
      <c r="J1" s="7"/>
      <c r="K1" s="7"/>
      <c r="L1" s="7"/>
      <c r="M1" s="7"/>
      <c r="N1" s="7"/>
      <c r="O1" s="7"/>
      <c r="P1" s="7"/>
      <c r="Q1" s="7"/>
    </row>
    <row r="2" spans="1:17" x14ac:dyDescent="0.3"/>
    <row r="3" spans="1:17" ht="18" x14ac:dyDescent="0.35">
      <c r="B3" s="5" t="s">
        <v>1</v>
      </c>
    </row>
    <row r="4" spans="1:17" ht="18" x14ac:dyDescent="0.3">
      <c r="B4" s="6" t="s">
        <v>2</v>
      </c>
    </row>
    <row r="5" spans="1:17" ht="18" x14ac:dyDescent="0.3">
      <c r="B5" s="6" t="s">
        <v>3</v>
      </c>
    </row>
    <row r="6" spans="1:17" ht="18" x14ac:dyDescent="0.3">
      <c r="B6" s="6" t="s">
        <v>4</v>
      </c>
    </row>
    <row r="7" spans="1:17" ht="18" x14ac:dyDescent="0.3">
      <c r="B7" s="6"/>
    </row>
    <row r="8" spans="1:17" ht="18" x14ac:dyDescent="0.3">
      <c r="B8" s="6" t="s">
        <v>5</v>
      </c>
    </row>
    <row r="9" spans="1:17" x14ac:dyDescent="0.3"/>
    <row r="10" spans="1:17" ht="18" x14ac:dyDescent="0.3">
      <c r="B10" s="6" t="s">
        <v>6</v>
      </c>
    </row>
    <row r="11" spans="1:17" ht="18" x14ac:dyDescent="0.3">
      <c r="B11" s="6" t="s">
        <v>7</v>
      </c>
    </row>
    <row r="30" spans="2:2" hidden="1" x14ac:dyDescent="0.3">
      <c r="B30" t="s">
        <v>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751F1-0960-4650-BC6D-021B2F78A774}">
  <dimension ref="A1:P11"/>
  <sheetViews>
    <sheetView showGridLines="0" workbookViewId="0">
      <selection activeCell="E13" sqref="E13"/>
    </sheetView>
  </sheetViews>
  <sheetFormatPr defaultColWidth="9.109375" defaultRowHeight="16.8" x14ac:dyDescent="0.4"/>
  <cols>
    <col min="1" max="1" width="3.44140625" style="4" customWidth="1"/>
    <col min="2" max="2" width="17" style="4" bestFit="1" customWidth="1"/>
    <col min="3" max="3" width="12.6640625" style="4" bestFit="1" customWidth="1"/>
    <col min="4" max="4" width="13.6640625" style="4" customWidth="1"/>
    <col min="5" max="5" width="17.109375" style="4" customWidth="1"/>
    <col min="6" max="6" width="16.88671875" style="4" customWidth="1"/>
    <col min="7" max="7" width="24.6640625" style="4" bestFit="1" customWidth="1"/>
    <col min="8" max="8" width="10" style="4" bestFit="1" customWidth="1"/>
    <col min="9" max="9" width="11.88671875" style="4" bestFit="1" customWidth="1"/>
    <col min="10" max="10" width="10" style="4" bestFit="1" customWidth="1"/>
    <col min="11" max="11" width="9.33203125" style="4" bestFit="1" customWidth="1"/>
    <col min="12" max="15" width="9.33203125" style="4" customWidth="1"/>
    <col min="16" max="16" width="17" style="4" bestFit="1" customWidth="1"/>
    <col min="17" max="18" width="15.88671875" style="4" customWidth="1"/>
    <col min="19" max="16384" width="9.109375" style="4"/>
  </cols>
  <sheetData>
    <row r="1" spans="1:16" s="9" customFormat="1" ht="48.75" customHeight="1" x14ac:dyDescent="0.4">
      <c r="A1" s="7" t="s">
        <v>89</v>
      </c>
      <c r="B1" s="7"/>
      <c r="C1" s="7"/>
      <c r="D1" s="7"/>
      <c r="E1" s="7"/>
      <c r="F1" s="7"/>
      <c r="G1" s="7"/>
      <c r="H1" s="7"/>
      <c r="I1" s="7"/>
      <c r="J1" s="7"/>
      <c r="K1" s="7"/>
      <c r="L1" s="7"/>
      <c r="M1" s="7"/>
      <c r="N1" s="7"/>
      <c r="O1" s="7"/>
      <c r="P1" s="7"/>
    </row>
    <row r="3" spans="1:16" x14ac:dyDescent="0.4">
      <c r="B3" s="4" t="s">
        <v>243</v>
      </c>
    </row>
    <row r="6" spans="1:16" x14ac:dyDescent="0.4">
      <c r="B6" s="10" t="s">
        <v>90</v>
      </c>
      <c r="C6" s="10" t="s">
        <v>91</v>
      </c>
      <c r="D6" s="10" t="s">
        <v>92</v>
      </c>
      <c r="E6" s="14" t="s">
        <v>242</v>
      </c>
    </row>
    <row r="7" spans="1:16" x14ac:dyDescent="0.4">
      <c r="B7" s="4" t="s">
        <v>93</v>
      </c>
      <c r="C7" s="12">
        <v>50</v>
      </c>
      <c r="D7" s="12">
        <v>70</v>
      </c>
      <c r="E7" s="38">
        <f>(D7-C7)/C7</f>
        <v>0.4</v>
      </c>
    </row>
    <row r="8" spans="1:16" x14ac:dyDescent="0.4">
      <c r="B8" s="4" t="s">
        <v>94</v>
      </c>
      <c r="C8" s="12">
        <v>30</v>
      </c>
      <c r="D8" s="12">
        <v>45</v>
      </c>
      <c r="E8" s="38">
        <f t="shared" ref="E8:E11" si="0">(D8-C8)/C8</f>
        <v>0.5</v>
      </c>
    </row>
    <row r="9" spans="1:16" x14ac:dyDescent="0.4">
      <c r="B9" s="4" t="s">
        <v>95</v>
      </c>
      <c r="C9" s="12">
        <v>45</v>
      </c>
      <c r="D9" s="12">
        <v>60</v>
      </c>
      <c r="E9" s="38">
        <f t="shared" si="0"/>
        <v>0.33333333333333331</v>
      </c>
    </row>
    <row r="10" spans="1:16" x14ac:dyDescent="0.4">
      <c r="B10" s="4" t="s">
        <v>96</v>
      </c>
      <c r="C10" s="12">
        <v>60</v>
      </c>
      <c r="D10" s="12">
        <v>80</v>
      </c>
      <c r="E10" s="38">
        <f t="shared" si="0"/>
        <v>0.33333333333333331</v>
      </c>
    </row>
    <row r="11" spans="1:16" x14ac:dyDescent="0.4">
      <c r="B11" s="4" t="s">
        <v>97</v>
      </c>
      <c r="C11" s="12">
        <v>40</v>
      </c>
      <c r="D11" s="12">
        <v>55</v>
      </c>
      <c r="E11" s="38">
        <f t="shared" si="0"/>
        <v>0.375</v>
      </c>
    </row>
  </sheetData>
  <sortState xmlns:xlrd2="http://schemas.microsoft.com/office/spreadsheetml/2017/richdata2" ref="E6:E29">
    <sortCondition ref="E6:E29"/>
  </sortState>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DF63A-368B-48C6-A589-A42AE23E8A90}">
  <dimension ref="A1:P11"/>
  <sheetViews>
    <sheetView showGridLines="0" tabSelected="1" workbookViewId="0">
      <selection activeCell="E7" sqref="E7"/>
    </sheetView>
  </sheetViews>
  <sheetFormatPr defaultColWidth="9.109375" defaultRowHeight="16.8" x14ac:dyDescent="0.4"/>
  <cols>
    <col min="1" max="1" width="3.44140625" style="4" customWidth="1"/>
    <col min="2" max="2" width="17" style="4" bestFit="1" customWidth="1"/>
    <col min="3" max="3" width="12.6640625" style="4" bestFit="1" customWidth="1"/>
    <col min="4" max="4" width="13.6640625" style="4" customWidth="1"/>
    <col min="5" max="5" width="17" style="4" customWidth="1"/>
    <col min="6" max="6" width="16.88671875" style="4" customWidth="1"/>
    <col min="7" max="8" width="10.44140625" style="4" customWidth="1"/>
    <col min="9" max="9" width="11.88671875" style="4" bestFit="1" customWidth="1"/>
    <col min="10" max="10" width="10" style="4" bestFit="1" customWidth="1"/>
    <col min="11" max="11" width="9.33203125" style="4" bestFit="1" customWidth="1"/>
    <col min="12" max="15" width="9.33203125" style="4" customWidth="1"/>
    <col min="16" max="16" width="17" style="4" bestFit="1" customWidth="1"/>
    <col min="17" max="18" width="15.88671875" style="4" customWidth="1"/>
    <col min="19" max="16384" width="9.109375" style="4"/>
  </cols>
  <sheetData>
    <row r="1" spans="1:16" s="9" customFormat="1" ht="48.75" customHeight="1" x14ac:dyDescent="0.4">
      <c r="A1" s="7" t="s">
        <v>232</v>
      </c>
      <c r="B1" s="7"/>
      <c r="C1" s="7"/>
      <c r="D1" s="7"/>
      <c r="E1" s="7"/>
      <c r="F1" s="7"/>
      <c r="G1" s="7"/>
      <c r="H1" s="7"/>
      <c r="I1" s="7"/>
      <c r="J1" s="7"/>
      <c r="K1" s="7"/>
      <c r="L1" s="7"/>
      <c r="M1" s="7"/>
      <c r="N1" s="7"/>
      <c r="O1" s="7"/>
      <c r="P1" s="7"/>
    </row>
    <row r="3" spans="1:16" x14ac:dyDescent="0.4">
      <c r="B3" s="4" t="s">
        <v>243</v>
      </c>
    </row>
    <row r="4" spans="1:16" x14ac:dyDescent="0.4">
      <c r="B4" s="4" t="str">
        <f ca="1">_xlfn.IFNA(_xlfn.FORMULATEXT(E7),"")</f>
        <v>=(D7-C7)/C7</v>
      </c>
    </row>
    <row r="6" spans="1:16" x14ac:dyDescent="0.4">
      <c r="B6" s="10" t="s">
        <v>90</v>
      </c>
      <c r="C6" s="10" t="s">
        <v>91</v>
      </c>
      <c r="D6" s="10" t="s">
        <v>92</v>
      </c>
      <c r="E6" s="14" t="s">
        <v>242</v>
      </c>
    </row>
    <row r="7" spans="1:16" x14ac:dyDescent="0.4">
      <c r="B7" s="4" t="s">
        <v>93</v>
      </c>
      <c r="C7" s="12">
        <v>50</v>
      </c>
      <c r="D7" s="12">
        <v>70</v>
      </c>
      <c r="E7" s="13">
        <f>(D7-C7)/C7</f>
        <v>0.4</v>
      </c>
      <c r="F7" s="35"/>
      <c r="G7" s="35"/>
    </row>
    <row r="8" spans="1:16" x14ac:dyDescent="0.4">
      <c r="B8" s="4" t="s">
        <v>94</v>
      </c>
      <c r="C8" s="12">
        <v>30</v>
      </c>
      <c r="D8" s="12">
        <v>45</v>
      </c>
      <c r="E8" s="13">
        <f t="shared" ref="E8:E11" si="0">(D8-C8)/C8</f>
        <v>0.5</v>
      </c>
      <c r="F8" s="35"/>
      <c r="G8" s="35"/>
    </row>
    <row r="9" spans="1:16" x14ac:dyDescent="0.4">
      <c r="B9" s="4" t="s">
        <v>95</v>
      </c>
      <c r="C9" s="12">
        <v>45</v>
      </c>
      <c r="D9" s="12">
        <v>60</v>
      </c>
      <c r="E9" s="13">
        <f t="shared" si="0"/>
        <v>0.33333333333333331</v>
      </c>
      <c r="F9" s="35"/>
      <c r="G9" s="35"/>
    </row>
    <row r="10" spans="1:16" x14ac:dyDescent="0.4">
      <c r="B10" s="4" t="s">
        <v>96</v>
      </c>
      <c r="C10" s="12">
        <v>60</v>
      </c>
      <c r="D10" s="12">
        <v>80</v>
      </c>
      <c r="E10" s="13">
        <f t="shared" si="0"/>
        <v>0.33333333333333331</v>
      </c>
      <c r="F10" s="35"/>
      <c r="G10" s="35"/>
    </row>
    <row r="11" spans="1:16" x14ac:dyDescent="0.4">
      <c r="B11" s="4" t="s">
        <v>97</v>
      </c>
      <c r="C11" s="12">
        <v>40</v>
      </c>
      <c r="D11" s="12">
        <v>55</v>
      </c>
      <c r="E11" s="13">
        <f t="shared" si="0"/>
        <v>0.375</v>
      </c>
      <c r="F11" s="35"/>
      <c r="G11" s="35"/>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FD824-261B-408C-8966-1E53515AAF4E}">
  <dimension ref="A1:O19"/>
  <sheetViews>
    <sheetView showGridLines="0" workbookViewId="0">
      <selection activeCell="G19" sqref="G19"/>
    </sheetView>
  </sheetViews>
  <sheetFormatPr defaultColWidth="9.109375" defaultRowHeight="16.8" x14ac:dyDescent="0.4"/>
  <cols>
    <col min="1" max="1" width="3.44140625" style="4" customWidth="1"/>
    <col min="2" max="2" width="17.88671875" style="4" bestFit="1" customWidth="1"/>
    <col min="3" max="3" width="11.88671875" style="4" customWidth="1"/>
    <col min="4" max="4" width="28.6640625" style="4" bestFit="1" customWidth="1"/>
    <col min="5" max="5" width="9.44140625" style="4" customWidth="1"/>
    <col min="6" max="6" width="6.109375" style="4" customWidth="1"/>
    <col min="7" max="7" width="14.88671875" style="4" customWidth="1"/>
    <col min="8" max="8" width="11.88671875" style="4" bestFit="1" customWidth="1"/>
    <col min="9" max="9" width="10" style="4" bestFit="1" customWidth="1"/>
    <col min="10" max="10" width="9.33203125" style="4" bestFit="1" customWidth="1"/>
    <col min="11" max="14" width="9.33203125" style="4" customWidth="1"/>
    <col min="15" max="15" width="17" style="4" bestFit="1" customWidth="1"/>
    <col min="16" max="17" width="15.88671875" style="4" customWidth="1"/>
    <col min="18" max="16384" width="9.109375" style="4"/>
  </cols>
  <sheetData>
    <row r="1" spans="1:15" s="9" customFormat="1" ht="48.75" customHeight="1" x14ac:dyDescent="0.4">
      <c r="A1" s="7" t="s">
        <v>227</v>
      </c>
      <c r="B1" s="7"/>
      <c r="C1" s="7"/>
      <c r="D1" s="7"/>
      <c r="E1" s="7"/>
      <c r="F1" s="7"/>
      <c r="G1" s="7"/>
      <c r="H1" s="7"/>
      <c r="I1" s="7"/>
      <c r="J1" s="7"/>
      <c r="K1" s="7"/>
      <c r="L1" s="7"/>
      <c r="M1" s="7"/>
      <c r="N1" s="7"/>
      <c r="O1" s="7"/>
    </row>
    <row r="4" spans="1:15" x14ac:dyDescent="0.4">
      <c r="B4" s="10" t="s">
        <v>114</v>
      </c>
      <c r="C4" s="15" t="s">
        <v>99</v>
      </c>
      <c r="D4" s="10" t="s">
        <v>100</v>
      </c>
    </row>
    <row r="5" spans="1:15" x14ac:dyDescent="0.4">
      <c r="B5" s="4" t="s">
        <v>101</v>
      </c>
      <c r="C5" s="12">
        <v>28</v>
      </c>
      <c r="D5" s="4" t="s">
        <v>102</v>
      </c>
      <c r="F5" s="4" t="s">
        <v>223</v>
      </c>
    </row>
    <row r="6" spans="1:15" x14ac:dyDescent="0.4">
      <c r="B6" s="4" t="s">
        <v>103</v>
      </c>
      <c r="C6" s="12">
        <v>34</v>
      </c>
      <c r="D6" s="4" t="s">
        <v>104</v>
      </c>
    </row>
    <row r="7" spans="1:15" x14ac:dyDescent="0.4">
      <c r="B7" s="4" t="s">
        <v>105</v>
      </c>
      <c r="C7" s="12">
        <v>45</v>
      </c>
      <c r="F7" s="4" t="s">
        <v>113</v>
      </c>
      <c r="G7" s="16">
        <f>COUNT(C5:C14)</f>
        <v>6</v>
      </c>
      <c r="H7" s="4" t="str">
        <f ca="1">_xlfn.IFNA(_xlfn.FORMULATEXT(G7),"")</f>
        <v>=COUNT(C5:C14)</v>
      </c>
    </row>
    <row r="8" spans="1:15" x14ac:dyDescent="0.4">
      <c r="B8" s="4" t="s">
        <v>106</v>
      </c>
      <c r="D8" s="4" t="s">
        <v>107</v>
      </c>
    </row>
    <row r="9" spans="1:15" x14ac:dyDescent="0.4">
      <c r="B9" s="4" t="s">
        <v>108</v>
      </c>
      <c r="C9" s="12"/>
      <c r="D9" s="4" t="s">
        <v>109</v>
      </c>
      <c r="F9" s="4" t="s">
        <v>224</v>
      </c>
    </row>
    <row r="10" spans="1:15" x14ac:dyDescent="0.4">
      <c r="B10" s="4" t="s">
        <v>110</v>
      </c>
      <c r="C10" s="12">
        <v>30</v>
      </c>
    </row>
    <row r="11" spans="1:15" x14ac:dyDescent="0.4">
      <c r="B11" s="4" t="s">
        <v>112</v>
      </c>
      <c r="D11" s="4" t="s">
        <v>111</v>
      </c>
      <c r="F11" s="4" t="s">
        <v>115</v>
      </c>
      <c r="G11" s="16">
        <f>COUNTA(B5:B14)</f>
        <v>10</v>
      </c>
      <c r="H11" s="4" t="str">
        <f ca="1">_xlfn.IFNA(_xlfn.FORMULATEXT(G11),"")</f>
        <v>=COUNTA(B5:B14)</v>
      </c>
    </row>
    <row r="12" spans="1:15" x14ac:dyDescent="0.4">
      <c r="B12" s="4" t="s">
        <v>129</v>
      </c>
      <c r="C12" s="12">
        <v>32</v>
      </c>
    </row>
    <row r="13" spans="1:15" x14ac:dyDescent="0.4">
      <c r="B13" s="4" t="s">
        <v>130</v>
      </c>
      <c r="F13" s="4" t="s">
        <v>123</v>
      </c>
    </row>
    <row r="14" spans="1:15" x14ac:dyDescent="0.4">
      <c r="B14" s="4" t="s">
        <v>131</v>
      </c>
      <c r="C14" s="12">
        <v>29</v>
      </c>
      <c r="D14" s="4" t="s">
        <v>222</v>
      </c>
    </row>
    <row r="15" spans="1:15" x14ac:dyDescent="0.4">
      <c r="F15" s="4" t="s">
        <v>116</v>
      </c>
      <c r="G15" s="16">
        <f>COUNTBLANK(D5:D14)</f>
        <v>4</v>
      </c>
      <c r="H15" s="4" t="str">
        <f ca="1">_xlfn.IFNA(_xlfn.FORMULATEXT(G15),"")</f>
        <v>=COUNTBLANK(D5:D14)</v>
      </c>
    </row>
    <row r="17" spans="6:8" x14ac:dyDescent="0.4">
      <c r="F17" s="4" t="s">
        <v>124</v>
      </c>
    </row>
    <row r="19" spans="6:8" x14ac:dyDescent="0.4">
      <c r="F19" s="4" t="s">
        <v>122</v>
      </c>
      <c r="G19" s="16">
        <f>COUNTIF(C5:C14,"&gt;"&amp;30)</f>
        <v>3</v>
      </c>
      <c r="H19" s="4" t="str">
        <f ca="1">_xlfn.IFNA(_xlfn.FORMULATEXT(G19),"")</f>
        <v>=COUNTIF(C5:C14,"&gt;"&amp;30)</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BD816-FC88-4AB1-80F7-447EC7E87E12}">
  <dimension ref="A1:O19"/>
  <sheetViews>
    <sheetView showGridLines="0" workbookViewId="0">
      <selection activeCell="F3" sqref="F3"/>
    </sheetView>
  </sheetViews>
  <sheetFormatPr defaultColWidth="9.109375" defaultRowHeight="16.8" x14ac:dyDescent="0.4"/>
  <cols>
    <col min="1" max="1" width="3.44140625" style="4" customWidth="1"/>
    <col min="2" max="2" width="17.88671875" style="4" bestFit="1" customWidth="1"/>
    <col min="3" max="3" width="11.88671875" style="4" customWidth="1"/>
    <col min="4" max="4" width="28.6640625" style="4" bestFit="1" customWidth="1"/>
    <col min="5" max="5" width="9.44140625" style="4" customWidth="1"/>
    <col min="6" max="6" width="6.109375" style="4" customWidth="1"/>
    <col min="7" max="7" width="14.88671875" style="4" customWidth="1"/>
    <col min="8" max="8" width="11.88671875" style="4" bestFit="1" customWidth="1"/>
    <col min="9" max="9" width="10" style="4" bestFit="1" customWidth="1"/>
    <col min="10" max="10" width="9.33203125" style="4" bestFit="1" customWidth="1"/>
    <col min="11" max="14" width="9.33203125" style="4" customWidth="1"/>
    <col min="15" max="15" width="17" style="4" bestFit="1" customWidth="1"/>
    <col min="16" max="17" width="15.88671875" style="4" customWidth="1"/>
    <col min="18" max="16384" width="9.109375" style="4"/>
  </cols>
  <sheetData>
    <row r="1" spans="1:15" s="9" customFormat="1" ht="48.75" customHeight="1" x14ac:dyDescent="0.4">
      <c r="A1" s="7" t="s">
        <v>233</v>
      </c>
      <c r="B1" s="7"/>
      <c r="C1" s="7"/>
      <c r="D1" s="7"/>
      <c r="E1" s="7"/>
      <c r="F1" s="7"/>
      <c r="G1" s="7"/>
      <c r="H1" s="7"/>
      <c r="I1" s="7"/>
      <c r="J1" s="7"/>
      <c r="K1" s="7"/>
      <c r="L1" s="7"/>
      <c r="M1" s="7"/>
      <c r="N1" s="7"/>
      <c r="O1" s="7"/>
    </row>
    <row r="4" spans="1:15" x14ac:dyDescent="0.4">
      <c r="B4" s="10" t="s">
        <v>114</v>
      </c>
      <c r="C4" s="15" t="s">
        <v>99</v>
      </c>
      <c r="D4" s="10" t="s">
        <v>100</v>
      </c>
    </row>
    <row r="5" spans="1:15" x14ac:dyDescent="0.4">
      <c r="B5" s="4" t="s">
        <v>101</v>
      </c>
      <c r="C5" s="12">
        <v>28</v>
      </c>
      <c r="D5" s="4" t="s">
        <v>102</v>
      </c>
      <c r="F5" s="4" t="s">
        <v>223</v>
      </c>
    </row>
    <row r="6" spans="1:15" x14ac:dyDescent="0.4">
      <c r="B6" s="4" t="s">
        <v>103</v>
      </c>
      <c r="C6" s="12">
        <v>34</v>
      </c>
      <c r="D6" s="4" t="s">
        <v>104</v>
      </c>
    </row>
    <row r="7" spans="1:15" x14ac:dyDescent="0.4">
      <c r="B7" s="4" t="s">
        <v>105</v>
      </c>
      <c r="C7" s="12">
        <v>45</v>
      </c>
      <c r="F7" s="4" t="s">
        <v>113</v>
      </c>
      <c r="G7" s="16">
        <f>COUNT(C5:C14)</f>
        <v>6</v>
      </c>
      <c r="H7" s="4" t="str">
        <f ca="1">_xlfn.IFNA(_xlfn.FORMULATEXT(G7),"")</f>
        <v>=COUNT(C5:C14)</v>
      </c>
    </row>
    <row r="8" spans="1:15" x14ac:dyDescent="0.4">
      <c r="B8" s="4" t="s">
        <v>106</v>
      </c>
      <c r="D8" s="4" t="s">
        <v>107</v>
      </c>
    </row>
    <row r="9" spans="1:15" x14ac:dyDescent="0.4">
      <c r="B9" s="4" t="s">
        <v>108</v>
      </c>
      <c r="C9" s="12"/>
      <c r="D9" s="4" t="s">
        <v>109</v>
      </c>
      <c r="F9" s="4" t="s">
        <v>224</v>
      </c>
    </row>
    <row r="10" spans="1:15" x14ac:dyDescent="0.4">
      <c r="B10" s="4" t="s">
        <v>110</v>
      </c>
      <c r="C10" s="12">
        <v>30</v>
      </c>
    </row>
    <row r="11" spans="1:15" x14ac:dyDescent="0.4">
      <c r="B11" s="4" t="s">
        <v>112</v>
      </c>
      <c r="D11" s="4" t="s">
        <v>111</v>
      </c>
      <c r="F11" s="4" t="s">
        <v>115</v>
      </c>
      <c r="G11" s="16">
        <f>COUNTA(B5:B14)</f>
        <v>10</v>
      </c>
      <c r="H11" s="4" t="str">
        <f ca="1">_xlfn.IFNA(_xlfn.FORMULATEXT(G11),"")</f>
        <v>=COUNTA(B5:B14)</v>
      </c>
    </row>
    <row r="12" spans="1:15" x14ac:dyDescent="0.4">
      <c r="B12" s="4" t="s">
        <v>129</v>
      </c>
      <c r="C12" s="12">
        <v>32</v>
      </c>
    </row>
    <row r="13" spans="1:15" x14ac:dyDescent="0.4">
      <c r="B13" s="4" t="s">
        <v>130</v>
      </c>
      <c r="F13" s="4" t="s">
        <v>123</v>
      </c>
    </row>
    <row r="14" spans="1:15" x14ac:dyDescent="0.4">
      <c r="B14" s="4" t="s">
        <v>131</v>
      </c>
      <c r="C14" s="12">
        <v>29</v>
      </c>
      <c r="D14" s="4" t="s">
        <v>222</v>
      </c>
    </row>
    <row r="15" spans="1:15" x14ac:dyDescent="0.4">
      <c r="F15" s="4" t="s">
        <v>116</v>
      </c>
      <c r="G15" s="16">
        <f>COUNTBLANK(D5:D14)</f>
        <v>4</v>
      </c>
      <c r="H15" s="4" t="str">
        <f ca="1">_xlfn.IFNA(_xlfn.FORMULATEXT(G15),"")</f>
        <v>=COUNTBLANK(D5:D14)</v>
      </c>
    </row>
    <row r="17" spans="6:8" x14ac:dyDescent="0.4">
      <c r="F17" s="4" t="s">
        <v>124</v>
      </c>
    </row>
    <row r="19" spans="6:8" x14ac:dyDescent="0.4">
      <c r="F19" s="4" t="s">
        <v>122</v>
      </c>
      <c r="G19" s="16">
        <f>COUNTIF(C5:C14,"&gt;"&amp;30)</f>
        <v>3</v>
      </c>
      <c r="H19" s="4" t="str">
        <f ca="1">_xlfn.IFNA(_xlfn.FORMULATEXT(G19),"")</f>
        <v>=COUNTIF(C5:C14,"&gt;"&amp;30)</v>
      </c>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DBA58-6306-4312-9A8A-58E09D1D5B16}">
  <dimension ref="A1:P21"/>
  <sheetViews>
    <sheetView showGridLines="0" topLeftCell="A4" zoomScaleNormal="100" workbookViewId="0">
      <selection activeCell="J18" sqref="J18"/>
    </sheetView>
  </sheetViews>
  <sheetFormatPr defaultColWidth="9.109375" defaultRowHeight="16.8" x14ac:dyDescent="0.4"/>
  <cols>
    <col min="1" max="1" width="3.44140625" style="4" customWidth="1"/>
    <col min="2" max="2" width="13.33203125" style="4" bestFit="1" customWidth="1"/>
    <col min="3" max="3" width="17.88671875" style="4" bestFit="1" customWidth="1"/>
    <col min="4" max="4" width="17.5546875" style="4" bestFit="1" customWidth="1"/>
    <col min="5" max="5" width="16.6640625" style="4" bestFit="1" customWidth="1"/>
    <col min="6" max="6" width="20.44140625" style="4" bestFit="1" customWidth="1"/>
    <col min="7" max="7" width="18" style="4" bestFit="1" customWidth="1"/>
    <col min="8" max="8" width="15.44140625" style="4" bestFit="1" customWidth="1"/>
    <col min="9" max="9" width="11.88671875" style="4" bestFit="1" customWidth="1"/>
    <col min="10" max="10" width="10" style="4" bestFit="1" customWidth="1"/>
    <col min="11" max="11" width="9.33203125" style="4" bestFit="1" customWidth="1"/>
    <col min="12" max="15" width="9.33203125" style="4" customWidth="1"/>
    <col min="16" max="16" width="17" style="4" bestFit="1" customWidth="1"/>
    <col min="17" max="18" width="15.88671875" style="4" customWidth="1"/>
    <col min="19" max="16384" width="9.109375" style="4"/>
  </cols>
  <sheetData>
    <row r="1" spans="1:16" s="9" customFormat="1" ht="48.75" customHeight="1" x14ac:dyDescent="0.4">
      <c r="A1" s="7" t="s">
        <v>117</v>
      </c>
      <c r="B1" s="7"/>
      <c r="C1" s="7"/>
      <c r="D1" s="7"/>
      <c r="E1" s="7"/>
      <c r="F1" s="7"/>
      <c r="G1" s="7"/>
      <c r="H1" s="7"/>
      <c r="I1" s="7"/>
      <c r="J1" s="7"/>
      <c r="K1" s="7"/>
      <c r="L1" s="7"/>
      <c r="M1" s="7"/>
      <c r="N1" s="7"/>
      <c r="O1" s="7"/>
      <c r="P1" s="7"/>
    </row>
    <row r="3" spans="1:16" ht="33.75" customHeight="1" x14ac:dyDescent="0.4">
      <c r="B3" s="37" t="s">
        <v>133</v>
      </c>
      <c r="C3" s="37"/>
      <c r="D3" s="37"/>
      <c r="E3" s="37"/>
      <c r="F3" s="37"/>
      <c r="G3" s="37"/>
      <c r="H3" s="37"/>
    </row>
    <row r="4" spans="1:16" x14ac:dyDescent="0.4">
      <c r="B4" s="4" t="str">
        <f ca="1">_xlfn.IFNA(_xlfn.FORMULATEXT(G12),"")</f>
        <v>=IF(E12&gt;=5000,"Met","Not Meet")</v>
      </c>
      <c r="C4" s="26"/>
      <c r="D4" s="26"/>
      <c r="E4" s="26"/>
      <c r="F4" s="26"/>
      <c r="G4" s="26"/>
      <c r="H4" s="26"/>
    </row>
    <row r="6" spans="1:16" ht="34.5" customHeight="1" x14ac:dyDescent="0.4">
      <c r="B6" s="37" t="s">
        <v>169</v>
      </c>
      <c r="C6" s="37"/>
      <c r="D6" s="37"/>
      <c r="E6" s="37"/>
      <c r="F6" s="37"/>
      <c r="G6" s="37"/>
      <c r="H6" s="37"/>
    </row>
    <row r="7" spans="1:16" x14ac:dyDescent="0.4">
      <c r="B7" s="11" t="str">
        <f ca="1">_xlfn.IFNA(_xlfn.FORMULATEXT(H12),"")</f>
        <v>=IF(AND(E12&gt;8000,F12&gt;=4),E12*5%,0)</v>
      </c>
      <c r="C7" s="26"/>
      <c r="D7" s="26"/>
      <c r="E7" s="26"/>
      <c r="F7" s="26"/>
      <c r="G7" s="26"/>
      <c r="H7" s="26"/>
    </row>
    <row r="8" spans="1:16" x14ac:dyDescent="0.4">
      <c r="B8" s="11"/>
      <c r="C8" s="26"/>
      <c r="D8" s="26"/>
      <c r="E8" s="26"/>
      <c r="F8" s="26"/>
      <c r="G8" s="29" t="s">
        <v>164</v>
      </c>
      <c r="H8" s="29" t="s">
        <v>165</v>
      </c>
    </row>
    <row r="9" spans="1:16" x14ac:dyDescent="0.4">
      <c r="G9" s="28">
        <v>5000</v>
      </c>
      <c r="H9" s="28">
        <v>8000</v>
      </c>
    </row>
    <row r="10" spans="1:16" x14ac:dyDescent="0.4">
      <c r="G10" s="28"/>
      <c r="H10" s="34">
        <v>4</v>
      </c>
    </row>
    <row r="11" spans="1:16" x14ac:dyDescent="0.4">
      <c r="B11" s="10" t="s">
        <v>125</v>
      </c>
      <c r="C11" s="10" t="s">
        <v>98</v>
      </c>
      <c r="D11" s="10" t="s">
        <v>126</v>
      </c>
      <c r="E11" s="15" t="s">
        <v>127</v>
      </c>
      <c r="F11" s="14" t="s">
        <v>128</v>
      </c>
      <c r="G11" s="14" t="s">
        <v>132</v>
      </c>
      <c r="H11" s="14" t="s">
        <v>134</v>
      </c>
    </row>
    <row r="12" spans="1:16" x14ac:dyDescent="0.4">
      <c r="B12" s="19">
        <v>1</v>
      </c>
      <c r="C12" s="4" t="s">
        <v>101</v>
      </c>
      <c r="D12" s="4" t="s">
        <v>175</v>
      </c>
      <c r="E12" s="17">
        <v>5000</v>
      </c>
      <c r="F12" s="4">
        <v>4</v>
      </c>
      <c r="G12" s="18" t="str">
        <f>IF(E12&gt;=5000,"Met","Not Meet")</f>
        <v>Met</v>
      </c>
      <c r="H12" s="16">
        <f>IF(AND(E12&gt;8000,F12&gt;=4),E12*5%,0)</f>
        <v>0</v>
      </c>
    </row>
    <row r="13" spans="1:16" x14ac:dyDescent="0.4">
      <c r="B13" s="19">
        <v>2</v>
      </c>
      <c r="C13" s="4" t="s">
        <v>103</v>
      </c>
      <c r="D13" s="4" t="s">
        <v>176</v>
      </c>
      <c r="E13" s="17">
        <v>2500</v>
      </c>
      <c r="F13" s="4">
        <v>3</v>
      </c>
      <c r="G13" s="18" t="str">
        <f t="shared" ref="G13:G21" si="0">IF(E13&gt;=5000,"Met","Not Meet")</f>
        <v>Not Meet</v>
      </c>
      <c r="H13" s="16">
        <f t="shared" ref="H13:H21" si="1">IF(AND(E13&gt;8000,F13&gt;=4),E13*5%,0)</f>
        <v>0</v>
      </c>
    </row>
    <row r="14" spans="1:16" x14ac:dyDescent="0.4">
      <c r="B14" s="19">
        <v>3</v>
      </c>
      <c r="C14" s="4" t="s">
        <v>105</v>
      </c>
      <c r="D14" s="4" t="s">
        <v>177</v>
      </c>
      <c r="E14" s="17">
        <v>3000</v>
      </c>
      <c r="F14" s="4">
        <v>5</v>
      </c>
      <c r="G14" s="18" t="str">
        <f t="shared" si="0"/>
        <v>Not Meet</v>
      </c>
      <c r="H14" s="16">
        <f t="shared" si="1"/>
        <v>0</v>
      </c>
    </row>
    <row r="15" spans="1:16" x14ac:dyDescent="0.4">
      <c r="B15" s="19">
        <v>4</v>
      </c>
      <c r="C15" s="4" t="s">
        <v>106</v>
      </c>
      <c r="D15" s="4" t="s">
        <v>175</v>
      </c>
      <c r="E15" s="17">
        <v>12000</v>
      </c>
      <c r="F15" s="4">
        <v>2</v>
      </c>
      <c r="G15" s="18" t="str">
        <f t="shared" si="0"/>
        <v>Met</v>
      </c>
      <c r="H15" s="16">
        <f t="shared" si="1"/>
        <v>0</v>
      </c>
    </row>
    <row r="16" spans="1:16" x14ac:dyDescent="0.4">
      <c r="B16" s="19">
        <v>5</v>
      </c>
      <c r="C16" s="4" t="s">
        <v>108</v>
      </c>
      <c r="D16" s="4" t="s">
        <v>176</v>
      </c>
      <c r="E16" s="17">
        <v>4300</v>
      </c>
      <c r="F16" s="4">
        <v>4</v>
      </c>
      <c r="G16" s="18" t="str">
        <f t="shared" si="0"/>
        <v>Not Meet</v>
      </c>
      <c r="H16" s="16">
        <f t="shared" si="1"/>
        <v>0</v>
      </c>
    </row>
    <row r="17" spans="2:8" x14ac:dyDescent="0.4">
      <c r="B17" s="19">
        <v>6</v>
      </c>
      <c r="C17" s="4" t="s">
        <v>110</v>
      </c>
      <c r="D17" s="4" t="s">
        <v>178</v>
      </c>
      <c r="E17" s="17">
        <v>8500</v>
      </c>
      <c r="F17" s="4">
        <v>5</v>
      </c>
      <c r="G17" s="18" t="str">
        <f t="shared" si="0"/>
        <v>Met</v>
      </c>
      <c r="H17" s="16">
        <f t="shared" si="1"/>
        <v>425</v>
      </c>
    </row>
    <row r="18" spans="2:8" x14ac:dyDescent="0.4">
      <c r="B18" s="19">
        <v>7</v>
      </c>
      <c r="C18" s="4" t="s">
        <v>112</v>
      </c>
      <c r="D18" s="4" t="s">
        <v>177</v>
      </c>
      <c r="E18" s="17">
        <v>4000</v>
      </c>
      <c r="F18" s="4">
        <v>3</v>
      </c>
      <c r="G18" s="18" t="str">
        <f t="shared" si="0"/>
        <v>Not Meet</v>
      </c>
      <c r="H18" s="16">
        <f t="shared" si="1"/>
        <v>0</v>
      </c>
    </row>
    <row r="19" spans="2:8" x14ac:dyDescent="0.4">
      <c r="B19" s="19">
        <v>8</v>
      </c>
      <c r="C19" s="4" t="s">
        <v>129</v>
      </c>
      <c r="D19" s="4" t="s">
        <v>175</v>
      </c>
      <c r="E19" s="17">
        <v>15000</v>
      </c>
      <c r="F19" s="4">
        <v>4</v>
      </c>
      <c r="G19" s="18" t="str">
        <f t="shared" si="0"/>
        <v>Met</v>
      </c>
      <c r="H19" s="16">
        <f t="shared" si="1"/>
        <v>750</v>
      </c>
    </row>
    <row r="20" spans="2:8" x14ac:dyDescent="0.4">
      <c r="B20" s="19">
        <v>9</v>
      </c>
      <c r="C20" s="4" t="s">
        <v>130</v>
      </c>
      <c r="D20" s="4" t="s">
        <v>178</v>
      </c>
      <c r="E20" s="17">
        <v>6000</v>
      </c>
      <c r="F20" s="4">
        <v>2</v>
      </c>
      <c r="G20" s="18" t="str">
        <f t="shared" si="0"/>
        <v>Met</v>
      </c>
      <c r="H20" s="16">
        <f t="shared" si="1"/>
        <v>0</v>
      </c>
    </row>
    <row r="21" spans="2:8" x14ac:dyDescent="0.4">
      <c r="B21" s="19">
        <v>10</v>
      </c>
      <c r="C21" s="4" t="s">
        <v>131</v>
      </c>
      <c r="D21" s="4" t="s">
        <v>176</v>
      </c>
      <c r="E21" s="17">
        <v>3200</v>
      </c>
      <c r="F21" s="4">
        <v>1</v>
      </c>
      <c r="G21" s="18" t="str">
        <f t="shared" si="0"/>
        <v>Not Meet</v>
      </c>
      <c r="H21" s="16">
        <f t="shared" si="1"/>
        <v>0</v>
      </c>
    </row>
  </sheetData>
  <mergeCells count="2">
    <mergeCell ref="B3:H3"/>
    <mergeCell ref="B6:H6"/>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19839-3184-4C87-B2AA-15CE6079A2E2}">
  <dimension ref="A1:P21"/>
  <sheetViews>
    <sheetView showGridLines="0" workbookViewId="0">
      <selection activeCell="F4" sqref="F4"/>
    </sheetView>
  </sheetViews>
  <sheetFormatPr defaultColWidth="9.109375" defaultRowHeight="16.8" x14ac:dyDescent="0.4"/>
  <cols>
    <col min="1" max="1" width="3.44140625" style="4" customWidth="1"/>
    <col min="2" max="2" width="13.33203125" style="4" bestFit="1" customWidth="1"/>
    <col min="3" max="3" width="17.88671875" style="4" bestFit="1" customWidth="1"/>
    <col min="4" max="4" width="17.5546875" style="4" bestFit="1" customWidth="1"/>
    <col min="5" max="5" width="16.6640625" style="4" bestFit="1" customWidth="1"/>
    <col min="6" max="6" width="20.44140625" style="4" bestFit="1" customWidth="1"/>
    <col min="7" max="7" width="18" style="4" bestFit="1" customWidth="1"/>
    <col min="8" max="8" width="15.44140625" style="4" bestFit="1" customWidth="1"/>
    <col min="9" max="9" width="11.88671875" style="4" bestFit="1" customWidth="1"/>
    <col min="10" max="10" width="10" style="4" bestFit="1" customWidth="1"/>
    <col min="11" max="11" width="9.33203125" style="4" bestFit="1" customWidth="1"/>
    <col min="12" max="15" width="9.33203125" style="4" customWidth="1"/>
    <col min="16" max="16" width="17" style="4" bestFit="1" customWidth="1"/>
    <col min="17" max="18" width="15.88671875" style="4" customWidth="1"/>
    <col min="19" max="16384" width="9.109375" style="4"/>
  </cols>
  <sheetData>
    <row r="1" spans="1:16" s="9" customFormat="1" ht="48.75" customHeight="1" x14ac:dyDescent="0.4">
      <c r="A1" s="7" t="s">
        <v>234</v>
      </c>
      <c r="B1" s="7"/>
      <c r="C1" s="7"/>
      <c r="D1" s="7"/>
      <c r="E1" s="7"/>
      <c r="F1" s="7"/>
      <c r="G1" s="7"/>
      <c r="H1" s="7"/>
      <c r="I1" s="7"/>
      <c r="J1" s="7"/>
      <c r="K1" s="7"/>
      <c r="L1" s="7"/>
      <c r="M1" s="7"/>
      <c r="N1" s="7"/>
      <c r="O1" s="7"/>
      <c r="P1" s="7"/>
    </row>
    <row r="3" spans="1:16" ht="33.75" customHeight="1" x14ac:dyDescent="0.4">
      <c r="B3" s="37" t="s">
        <v>133</v>
      </c>
      <c r="C3" s="37"/>
      <c r="D3" s="37"/>
      <c r="E3" s="37"/>
      <c r="F3" s="37"/>
      <c r="G3" s="37"/>
      <c r="H3" s="37"/>
    </row>
    <row r="4" spans="1:16" x14ac:dyDescent="0.4">
      <c r="B4" s="4" t="str">
        <f ca="1">_xlfn.IFNA(_xlfn.FORMULATEXT(G12),"")</f>
        <v>=IF(E12&gt;=$G$9,"Met","Not Met")</v>
      </c>
      <c r="C4" s="26"/>
      <c r="D4" s="26"/>
      <c r="E4" s="26"/>
      <c r="F4" s="26"/>
      <c r="G4" s="26"/>
      <c r="H4" s="26"/>
    </row>
    <row r="6" spans="1:16" ht="34.5" customHeight="1" x14ac:dyDescent="0.4">
      <c r="B6" s="37" t="s">
        <v>169</v>
      </c>
      <c r="C6" s="37"/>
      <c r="D6" s="37"/>
      <c r="E6" s="37"/>
      <c r="F6" s="37"/>
      <c r="G6" s="37"/>
      <c r="H6" s="37"/>
    </row>
    <row r="7" spans="1:16" x14ac:dyDescent="0.4">
      <c r="B7" s="11" t="str">
        <f ca="1">_xlfn.IFNA(_xlfn.FORMULATEXT(H12),"")</f>
        <v>=IF(AND(E12&gt;$H$9,F12&gt;=$H$10),E12*0.05,0)</v>
      </c>
      <c r="C7" s="26"/>
      <c r="D7" s="26"/>
      <c r="E7" s="26"/>
      <c r="F7" s="26"/>
      <c r="G7" s="26"/>
      <c r="H7" s="26"/>
    </row>
    <row r="8" spans="1:16" x14ac:dyDescent="0.4">
      <c r="B8" s="11"/>
      <c r="C8" s="26"/>
      <c r="D8" s="26"/>
      <c r="E8" s="26"/>
      <c r="F8" s="26"/>
      <c r="G8" s="29" t="s">
        <v>164</v>
      </c>
      <c r="H8" s="29" t="s">
        <v>165</v>
      </c>
    </row>
    <row r="9" spans="1:16" x14ac:dyDescent="0.4">
      <c r="G9" s="28">
        <v>5000</v>
      </c>
      <c r="H9" s="28">
        <v>8000</v>
      </c>
    </row>
    <row r="10" spans="1:16" x14ac:dyDescent="0.4">
      <c r="G10" s="28"/>
      <c r="H10" s="34">
        <v>4</v>
      </c>
    </row>
    <row r="11" spans="1:16" x14ac:dyDescent="0.4">
      <c r="B11" s="10" t="s">
        <v>125</v>
      </c>
      <c r="C11" s="10" t="s">
        <v>98</v>
      </c>
      <c r="D11" s="10" t="s">
        <v>126</v>
      </c>
      <c r="E11" s="15" t="s">
        <v>127</v>
      </c>
      <c r="F11" s="14" t="s">
        <v>128</v>
      </c>
      <c r="G11" s="14" t="s">
        <v>132</v>
      </c>
      <c r="H11" s="14" t="s">
        <v>134</v>
      </c>
    </row>
    <row r="12" spans="1:16" x14ac:dyDescent="0.4">
      <c r="B12" s="19">
        <v>1</v>
      </c>
      <c r="C12" s="4" t="s">
        <v>101</v>
      </c>
      <c r="D12" s="4" t="s">
        <v>175</v>
      </c>
      <c r="E12" s="17">
        <v>5000</v>
      </c>
      <c r="F12" s="4">
        <v>4</v>
      </c>
      <c r="G12" s="18" t="str">
        <f>IF(E12&gt;=$G$9,"Met","Not Met")</f>
        <v>Met</v>
      </c>
      <c r="H12" s="16">
        <f>IF(AND(E12&gt;$H$9,F12&gt;=$H$10),E12*0.05,0)</f>
        <v>0</v>
      </c>
    </row>
    <row r="13" spans="1:16" x14ac:dyDescent="0.4">
      <c r="B13" s="19">
        <v>2</v>
      </c>
      <c r="C13" s="4" t="s">
        <v>103</v>
      </c>
      <c r="D13" s="4" t="s">
        <v>176</v>
      </c>
      <c r="E13" s="17">
        <v>2500</v>
      </c>
      <c r="F13" s="4">
        <v>3</v>
      </c>
      <c r="G13" s="18" t="str">
        <f t="shared" ref="G13:G21" si="0">IF(E13&gt;=$G$9,"Met","Not Met")</f>
        <v>Not Met</v>
      </c>
      <c r="H13" s="16">
        <f t="shared" ref="H13:H21" si="1">IF(AND(E13&gt;$H$9,F13&gt;=$H$10),E13*0.05,0)</f>
        <v>0</v>
      </c>
    </row>
    <row r="14" spans="1:16" x14ac:dyDescent="0.4">
      <c r="B14" s="19">
        <v>3</v>
      </c>
      <c r="C14" s="4" t="s">
        <v>105</v>
      </c>
      <c r="D14" s="4" t="s">
        <v>177</v>
      </c>
      <c r="E14" s="17">
        <v>3000</v>
      </c>
      <c r="F14" s="4">
        <v>5</v>
      </c>
      <c r="G14" s="18" t="str">
        <f t="shared" si="0"/>
        <v>Not Met</v>
      </c>
      <c r="H14" s="16">
        <f t="shared" si="1"/>
        <v>0</v>
      </c>
    </row>
    <row r="15" spans="1:16" x14ac:dyDescent="0.4">
      <c r="B15" s="19">
        <v>4</v>
      </c>
      <c r="C15" s="4" t="s">
        <v>106</v>
      </c>
      <c r="D15" s="4" t="s">
        <v>175</v>
      </c>
      <c r="E15" s="17">
        <v>12000</v>
      </c>
      <c r="F15" s="4">
        <v>2</v>
      </c>
      <c r="G15" s="18" t="str">
        <f t="shared" si="0"/>
        <v>Met</v>
      </c>
      <c r="H15" s="16">
        <f t="shared" si="1"/>
        <v>0</v>
      </c>
    </row>
    <row r="16" spans="1:16" x14ac:dyDescent="0.4">
      <c r="B16" s="19">
        <v>5</v>
      </c>
      <c r="C16" s="4" t="s">
        <v>108</v>
      </c>
      <c r="D16" s="4" t="s">
        <v>176</v>
      </c>
      <c r="E16" s="17">
        <v>4300</v>
      </c>
      <c r="F16" s="4">
        <v>4</v>
      </c>
      <c r="G16" s="18" t="str">
        <f t="shared" si="0"/>
        <v>Not Met</v>
      </c>
      <c r="H16" s="16">
        <f t="shared" si="1"/>
        <v>0</v>
      </c>
    </row>
    <row r="17" spans="2:8" x14ac:dyDescent="0.4">
      <c r="B17" s="19">
        <v>6</v>
      </c>
      <c r="C17" s="4" t="s">
        <v>110</v>
      </c>
      <c r="D17" s="4" t="s">
        <v>178</v>
      </c>
      <c r="E17" s="17">
        <v>8500</v>
      </c>
      <c r="F17" s="4">
        <v>5</v>
      </c>
      <c r="G17" s="18" t="str">
        <f t="shared" si="0"/>
        <v>Met</v>
      </c>
      <c r="H17" s="16">
        <f t="shared" si="1"/>
        <v>425</v>
      </c>
    </row>
    <row r="18" spans="2:8" x14ac:dyDescent="0.4">
      <c r="B18" s="19">
        <v>7</v>
      </c>
      <c r="C18" s="4" t="s">
        <v>112</v>
      </c>
      <c r="D18" s="4" t="s">
        <v>177</v>
      </c>
      <c r="E18" s="17">
        <v>4000</v>
      </c>
      <c r="F18" s="4">
        <v>3</v>
      </c>
      <c r="G18" s="18" t="str">
        <f t="shared" si="0"/>
        <v>Not Met</v>
      </c>
      <c r="H18" s="16">
        <f t="shared" si="1"/>
        <v>0</v>
      </c>
    </row>
    <row r="19" spans="2:8" x14ac:dyDescent="0.4">
      <c r="B19" s="19">
        <v>8</v>
      </c>
      <c r="C19" s="4" t="s">
        <v>129</v>
      </c>
      <c r="D19" s="4" t="s">
        <v>175</v>
      </c>
      <c r="E19" s="17">
        <v>15000</v>
      </c>
      <c r="F19" s="4">
        <v>4</v>
      </c>
      <c r="G19" s="18" t="str">
        <f t="shared" si="0"/>
        <v>Met</v>
      </c>
      <c r="H19" s="16">
        <f t="shared" si="1"/>
        <v>750</v>
      </c>
    </row>
    <row r="20" spans="2:8" x14ac:dyDescent="0.4">
      <c r="B20" s="19">
        <v>9</v>
      </c>
      <c r="C20" s="4" t="s">
        <v>130</v>
      </c>
      <c r="D20" s="4" t="s">
        <v>178</v>
      </c>
      <c r="E20" s="17">
        <v>6000</v>
      </c>
      <c r="F20" s="4">
        <v>2</v>
      </c>
      <c r="G20" s="18" t="str">
        <f t="shared" si="0"/>
        <v>Met</v>
      </c>
      <c r="H20" s="16">
        <f t="shared" si="1"/>
        <v>0</v>
      </c>
    </row>
    <row r="21" spans="2:8" x14ac:dyDescent="0.4">
      <c r="B21" s="19">
        <v>10</v>
      </c>
      <c r="C21" s="4" t="s">
        <v>131</v>
      </c>
      <c r="D21" s="4" t="s">
        <v>176</v>
      </c>
      <c r="E21" s="17">
        <v>3200</v>
      </c>
      <c r="F21" s="4">
        <v>1</v>
      </c>
      <c r="G21" s="18" t="str">
        <f t="shared" si="0"/>
        <v>Not Met</v>
      </c>
      <c r="H21" s="16">
        <f t="shared" si="1"/>
        <v>0</v>
      </c>
    </row>
  </sheetData>
  <mergeCells count="2">
    <mergeCell ref="B3:H3"/>
    <mergeCell ref="B6:H6"/>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2C007-188B-4041-A6DA-C4E97295C9E9}">
  <dimension ref="A1:R19"/>
  <sheetViews>
    <sheetView showGridLines="0" zoomScaleNormal="100" workbookViewId="0">
      <selection activeCell="H10" sqref="H10"/>
    </sheetView>
  </sheetViews>
  <sheetFormatPr defaultColWidth="9.109375" defaultRowHeight="16.8" x14ac:dyDescent="0.4"/>
  <cols>
    <col min="1" max="1" width="3.44140625" style="4" customWidth="1"/>
    <col min="2" max="2" width="12.109375" style="4" bestFit="1" customWidth="1"/>
    <col min="3" max="3" width="13.33203125" style="4" bestFit="1" customWidth="1"/>
    <col min="4" max="4" width="14.109375" style="4" bestFit="1" customWidth="1"/>
    <col min="5" max="5" width="11.6640625" style="4" customWidth="1"/>
    <col min="6" max="6" width="13.6640625" style="4" customWidth="1"/>
    <col min="7" max="7" width="23.5546875" style="4" bestFit="1" customWidth="1"/>
    <col min="8" max="8" width="32.44140625" style="4" customWidth="1"/>
    <col min="9" max="9" width="8" style="4" customWidth="1"/>
    <col min="10" max="10" width="17.6640625" style="4" bestFit="1" customWidth="1"/>
    <col min="11" max="11" width="14.109375" style="4" bestFit="1" customWidth="1"/>
    <col min="12" max="12" width="14.44140625" style="4" customWidth="1"/>
    <col min="13" max="13" width="9.33203125" style="4" bestFit="1" customWidth="1"/>
    <col min="14" max="17" width="9.33203125" style="4" customWidth="1"/>
    <col min="18" max="18" width="17" style="4" bestFit="1" customWidth="1"/>
    <col min="19" max="20" width="15.88671875" style="4" customWidth="1"/>
    <col min="21" max="16384" width="9.109375" style="4"/>
  </cols>
  <sheetData>
    <row r="1" spans="1:18" s="9" customFormat="1" ht="48.75" customHeight="1" x14ac:dyDescent="0.4">
      <c r="A1" s="7" t="s">
        <v>118</v>
      </c>
      <c r="B1" s="7"/>
      <c r="C1" s="7"/>
      <c r="D1" s="7"/>
      <c r="E1" s="7"/>
      <c r="F1" s="7"/>
      <c r="G1" s="7"/>
      <c r="H1" s="7"/>
      <c r="I1" s="7"/>
      <c r="J1" s="7"/>
      <c r="K1" s="7"/>
      <c r="L1" s="7"/>
      <c r="M1" s="7"/>
      <c r="N1" s="7"/>
      <c r="O1" s="7"/>
      <c r="P1" s="7"/>
      <c r="Q1" s="7"/>
      <c r="R1" s="7"/>
    </row>
    <row r="3" spans="1:18" x14ac:dyDescent="0.4">
      <c r="B3" s="4" t="s">
        <v>166</v>
      </c>
    </row>
    <row r="4" spans="1:18" x14ac:dyDescent="0.4">
      <c r="B4" s="4" t="str">
        <f ca="1">_xlfn.IFNA(_xlfn.FORMULATEXT(F10),"")</f>
        <v>=VLOOKUP(D10,$K$10:$L$13,2,FALSE)</v>
      </c>
    </row>
    <row r="6" spans="1:18" x14ac:dyDescent="0.4">
      <c r="B6" s="4" t="s">
        <v>167</v>
      </c>
    </row>
    <row r="7" spans="1:18" x14ac:dyDescent="0.4">
      <c r="B7" s="4" t="str">
        <f ca="1">_xlfn.IFNA(_xlfn.FORMULATEXT(G10),"")</f>
        <v>=XLOOKUP(D10:D19,K10:K13,J10:J13)</v>
      </c>
    </row>
    <row r="9" spans="1:18" x14ac:dyDescent="0.4">
      <c r="B9" s="22" t="s">
        <v>125</v>
      </c>
      <c r="C9" s="22" t="s">
        <v>98</v>
      </c>
      <c r="D9" s="22" t="s">
        <v>135</v>
      </c>
      <c r="E9" s="23" t="s">
        <v>136</v>
      </c>
      <c r="F9" s="22" t="s">
        <v>162</v>
      </c>
      <c r="G9" s="23" t="s">
        <v>163</v>
      </c>
      <c r="H9" s="1" t="s">
        <v>168</v>
      </c>
      <c r="J9" s="22" t="s">
        <v>137</v>
      </c>
      <c r="K9" s="22" t="s">
        <v>135</v>
      </c>
      <c r="L9" s="24" t="s">
        <v>85</v>
      </c>
    </row>
    <row r="10" spans="1:18" x14ac:dyDescent="0.4">
      <c r="B10" s="4">
        <v>1</v>
      </c>
      <c r="C10" s="4" t="s">
        <v>101</v>
      </c>
      <c r="D10" s="4">
        <v>101</v>
      </c>
      <c r="E10" s="17">
        <v>55000</v>
      </c>
      <c r="F10" s="16" t="str">
        <f>VLOOKUP(D10,$K$10:$L$13,2,FALSE)</f>
        <v>Tom Evans</v>
      </c>
      <c r="G10" s="18" t="str" cm="1">
        <f t="array" ref="G10:G19">_xlfn.XLOOKUP(D10:D19,K10:K13,J10:J13)</f>
        <v>White Goods</v>
      </c>
      <c r="H10" s="39" t="str">
        <f>INDEX($J$10:$J$13,MATCH(D10,$K$10:$K$13,0))</f>
        <v>White Goods</v>
      </c>
      <c r="J10" t="s">
        <v>175</v>
      </c>
      <c r="K10">
        <v>101</v>
      </c>
      <c r="L10" s="25" t="s">
        <v>138</v>
      </c>
    </row>
    <row r="11" spans="1:18" x14ac:dyDescent="0.4">
      <c r="B11" s="4">
        <v>2</v>
      </c>
      <c r="C11" s="4" t="s">
        <v>103</v>
      </c>
      <c r="D11" s="4">
        <v>102</v>
      </c>
      <c r="E11" s="17">
        <v>62000</v>
      </c>
      <c r="F11" s="16" t="str">
        <f t="shared" ref="F11:F19" si="0">VLOOKUP(D11,$K$10:$L$13,2,FALSE)</f>
        <v>Linda White</v>
      </c>
      <c r="G11" s="18" t="str">
        <v>Small Appliances</v>
      </c>
      <c r="H11" s="39" t="str">
        <f t="shared" ref="H11:H19" si="1">INDEX($J$10:$J$13,MATCH(D11,$K$10:$K$13,0))</f>
        <v>Small Appliances</v>
      </c>
      <c r="J11" t="s">
        <v>176</v>
      </c>
      <c r="K11">
        <v>102</v>
      </c>
      <c r="L11" s="25" t="s">
        <v>139</v>
      </c>
    </row>
    <row r="12" spans="1:18" x14ac:dyDescent="0.4">
      <c r="B12" s="4">
        <v>3</v>
      </c>
      <c r="C12" s="4" t="s">
        <v>105</v>
      </c>
      <c r="D12" s="4">
        <v>103</v>
      </c>
      <c r="E12" s="17">
        <v>71000</v>
      </c>
      <c r="F12" s="16" t="str">
        <f t="shared" si="0"/>
        <v>Sam Brown</v>
      </c>
      <c r="G12" s="18" t="str">
        <v>Furnture</v>
      </c>
      <c r="H12" s="39" t="str">
        <f t="shared" si="1"/>
        <v>Furnture</v>
      </c>
      <c r="J12" t="s">
        <v>177</v>
      </c>
      <c r="K12">
        <v>103</v>
      </c>
      <c r="L12" s="25" t="s">
        <v>140</v>
      </c>
    </row>
    <row r="13" spans="1:18" x14ac:dyDescent="0.4">
      <c r="B13" s="4">
        <v>4</v>
      </c>
      <c r="C13" s="4" t="s">
        <v>106</v>
      </c>
      <c r="D13" s="4">
        <v>101</v>
      </c>
      <c r="E13" s="17">
        <v>48000</v>
      </c>
      <c r="F13" s="16" t="str">
        <f t="shared" si="0"/>
        <v>Tom Evans</v>
      </c>
      <c r="G13" s="18" t="str">
        <v>White Goods</v>
      </c>
      <c r="H13" s="39" t="str">
        <f t="shared" si="1"/>
        <v>White Goods</v>
      </c>
      <c r="J13" t="s">
        <v>178</v>
      </c>
      <c r="K13">
        <v>104</v>
      </c>
      <c r="L13" s="25" t="s">
        <v>141</v>
      </c>
    </row>
    <row r="14" spans="1:18" x14ac:dyDescent="0.4">
      <c r="B14" s="4">
        <v>5</v>
      </c>
      <c r="C14" s="4" t="s">
        <v>108</v>
      </c>
      <c r="D14" s="4">
        <v>102</v>
      </c>
      <c r="E14" s="17">
        <v>69000</v>
      </c>
      <c r="F14" s="16" t="str">
        <f t="shared" si="0"/>
        <v>Linda White</v>
      </c>
      <c r="G14" s="18" t="str">
        <v>Small Appliances</v>
      </c>
      <c r="H14" s="39" t="str">
        <f t="shared" si="1"/>
        <v>Small Appliances</v>
      </c>
    </row>
    <row r="15" spans="1:18" x14ac:dyDescent="0.4">
      <c r="B15" s="4">
        <v>6</v>
      </c>
      <c r="C15" s="4" t="s">
        <v>110</v>
      </c>
      <c r="D15" s="4">
        <v>104</v>
      </c>
      <c r="E15" s="17">
        <v>75000</v>
      </c>
      <c r="F15" s="16" t="str">
        <f t="shared" si="0"/>
        <v>Nancy Lee</v>
      </c>
      <c r="G15" s="18" t="str">
        <v>Brown Goods</v>
      </c>
      <c r="H15" s="39" t="str">
        <f t="shared" si="1"/>
        <v>Brown Goods</v>
      </c>
    </row>
    <row r="16" spans="1:18" x14ac:dyDescent="0.4">
      <c r="B16" s="4">
        <v>7</v>
      </c>
      <c r="C16" s="4" t="s">
        <v>112</v>
      </c>
      <c r="D16" s="4">
        <v>103</v>
      </c>
      <c r="E16" s="17">
        <v>73000</v>
      </c>
      <c r="F16" s="16" t="str">
        <f t="shared" si="0"/>
        <v>Sam Brown</v>
      </c>
      <c r="G16" s="18" t="str">
        <v>Furnture</v>
      </c>
      <c r="H16" s="39" t="str">
        <f t="shared" si="1"/>
        <v>Furnture</v>
      </c>
    </row>
    <row r="17" spans="2:8" x14ac:dyDescent="0.4">
      <c r="B17" s="4">
        <v>8</v>
      </c>
      <c r="C17" s="4" t="s">
        <v>129</v>
      </c>
      <c r="D17" s="4">
        <v>101</v>
      </c>
      <c r="E17" s="17">
        <v>64000</v>
      </c>
      <c r="F17" s="16" t="str">
        <f t="shared" si="0"/>
        <v>Tom Evans</v>
      </c>
      <c r="G17" s="18" t="str">
        <v>White Goods</v>
      </c>
      <c r="H17" s="39" t="str">
        <f t="shared" si="1"/>
        <v>White Goods</v>
      </c>
    </row>
    <row r="18" spans="2:8" x14ac:dyDescent="0.4">
      <c r="B18" s="4">
        <v>9</v>
      </c>
      <c r="C18" s="4" t="s">
        <v>130</v>
      </c>
      <c r="D18" s="4">
        <v>104</v>
      </c>
      <c r="E18" s="17">
        <v>76000</v>
      </c>
      <c r="F18" s="16" t="str">
        <f t="shared" si="0"/>
        <v>Nancy Lee</v>
      </c>
      <c r="G18" s="18" t="str">
        <v>Brown Goods</v>
      </c>
      <c r="H18" s="39" t="str">
        <f t="shared" si="1"/>
        <v>Brown Goods</v>
      </c>
    </row>
    <row r="19" spans="2:8" x14ac:dyDescent="0.4">
      <c r="B19" s="4">
        <v>10</v>
      </c>
      <c r="C19" s="4" t="s">
        <v>131</v>
      </c>
      <c r="D19" s="4">
        <v>102</v>
      </c>
      <c r="E19" s="17">
        <v>60000</v>
      </c>
      <c r="F19" s="16" t="str">
        <f t="shared" si="0"/>
        <v>Linda White</v>
      </c>
      <c r="G19" s="18" t="str">
        <v>Small Appliances</v>
      </c>
      <c r="H19" s="39" t="str">
        <f t="shared" si="1"/>
        <v>Small Appliances</v>
      </c>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28F66-1997-44A8-940B-39964CD65DF4}">
  <dimension ref="A1:R19"/>
  <sheetViews>
    <sheetView showGridLines="0" workbookViewId="0">
      <selection activeCell="H10" sqref="H10"/>
    </sheetView>
  </sheetViews>
  <sheetFormatPr defaultColWidth="9.109375" defaultRowHeight="16.8" x14ac:dyDescent="0.4"/>
  <cols>
    <col min="1" max="1" width="3.44140625" style="4" customWidth="1"/>
    <col min="2" max="2" width="12.109375" style="4" bestFit="1" customWidth="1"/>
    <col min="3" max="3" width="13.33203125" style="4" bestFit="1" customWidth="1"/>
    <col min="4" max="4" width="14.109375" style="4" bestFit="1" customWidth="1"/>
    <col min="5" max="5" width="11.6640625" style="4" customWidth="1"/>
    <col min="6" max="6" width="13.6640625" style="4" customWidth="1"/>
    <col min="7" max="7" width="23.5546875" style="4" bestFit="1" customWidth="1"/>
    <col min="8" max="8" width="32.33203125" style="4" bestFit="1" customWidth="1"/>
    <col min="9" max="9" width="8" style="4" customWidth="1"/>
    <col min="10" max="10" width="17.6640625" style="4" bestFit="1" customWidth="1"/>
    <col min="11" max="11" width="14.109375" style="4" bestFit="1" customWidth="1"/>
    <col min="12" max="12" width="14.44140625" style="4" customWidth="1"/>
    <col min="13" max="13" width="9.33203125" style="4" bestFit="1" customWidth="1"/>
    <col min="14" max="17" width="9.33203125" style="4" customWidth="1"/>
    <col min="18" max="18" width="17" style="4" bestFit="1" customWidth="1"/>
    <col min="19" max="20" width="15.88671875" style="4" customWidth="1"/>
    <col min="21" max="16384" width="9.109375" style="4"/>
  </cols>
  <sheetData>
    <row r="1" spans="1:18" s="9" customFormat="1" ht="48.75" customHeight="1" x14ac:dyDescent="0.4">
      <c r="A1" s="7" t="s">
        <v>235</v>
      </c>
      <c r="B1" s="7"/>
      <c r="C1" s="7"/>
      <c r="D1" s="7"/>
      <c r="E1" s="7"/>
      <c r="F1" s="7"/>
      <c r="G1" s="7"/>
      <c r="H1" s="7"/>
      <c r="I1" s="7"/>
      <c r="J1" s="7"/>
      <c r="K1" s="7"/>
      <c r="L1" s="7"/>
      <c r="M1" s="7"/>
      <c r="N1" s="7"/>
      <c r="O1" s="7"/>
      <c r="P1" s="7"/>
      <c r="Q1" s="7"/>
      <c r="R1" s="7"/>
    </row>
    <row r="3" spans="1:18" x14ac:dyDescent="0.4">
      <c r="B3" s="4" t="s">
        <v>166</v>
      </c>
    </row>
    <row r="4" spans="1:18" x14ac:dyDescent="0.4">
      <c r="B4" s="4" t="str">
        <f ca="1">_xlfn.IFNA(_xlfn.FORMULATEXT(F10),"")</f>
        <v>=VLOOKUP(D10,$K$10:$L$13,2,0)</v>
      </c>
    </row>
    <row r="6" spans="1:18" x14ac:dyDescent="0.4">
      <c r="B6" s="4" t="s">
        <v>167</v>
      </c>
    </row>
    <row r="7" spans="1:18" x14ac:dyDescent="0.4">
      <c r="B7" s="4" t="str">
        <f ca="1">_xlfn.IFNA(_xlfn.FORMULATEXT(G10),"")</f>
        <v>=XLOOKUP(D10:D19,K10:K13,J10:J13)</v>
      </c>
    </row>
    <row r="9" spans="1:18" x14ac:dyDescent="0.4">
      <c r="B9" s="22" t="s">
        <v>125</v>
      </c>
      <c r="C9" s="22" t="s">
        <v>98</v>
      </c>
      <c r="D9" s="22" t="s">
        <v>135</v>
      </c>
      <c r="E9" s="23" t="s">
        <v>136</v>
      </c>
      <c r="F9" s="22" t="s">
        <v>162</v>
      </c>
      <c r="G9" s="23" t="s">
        <v>163</v>
      </c>
      <c r="H9" s="24" t="s">
        <v>168</v>
      </c>
      <c r="J9" s="22" t="s">
        <v>137</v>
      </c>
      <c r="K9" s="22" t="s">
        <v>135</v>
      </c>
      <c r="L9" s="24" t="s">
        <v>85</v>
      </c>
    </row>
    <row r="10" spans="1:18" x14ac:dyDescent="0.4">
      <c r="B10" s="4">
        <v>1</v>
      </c>
      <c r="C10" s="4" t="s">
        <v>101</v>
      </c>
      <c r="D10" s="4">
        <v>101</v>
      </c>
      <c r="E10" s="17">
        <v>55000</v>
      </c>
      <c r="F10" s="16" t="str">
        <f>VLOOKUP(D10,$K$10:$L$13,2,0)</f>
        <v>Tom Evans</v>
      </c>
      <c r="G10" s="18" t="str" cm="1">
        <f t="array" ref="G10:G19">_xlfn.XLOOKUP(D10:D19,K10:K13,J10:J13)</f>
        <v>White Goods</v>
      </c>
      <c r="H10" s="18" t="str">
        <f>INDEX($J$10:$J$13,MATCH(D10,$K$10:$K$13,0))</f>
        <v>White Goods</v>
      </c>
      <c r="J10" t="s">
        <v>175</v>
      </c>
      <c r="K10">
        <v>101</v>
      </c>
      <c r="L10" s="25" t="s">
        <v>138</v>
      </c>
    </row>
    <row r="11" spans="1:18" x14ac:dyDescent="0.4">
      <c r="B11" s="4">
        <v>2</v>
      </c>
      <c r="C11" s="4" t="s">
        <v>103</v>
      </c>
      <c r="D11" s="4">
        <v>102</v>
      </c>
      <c r="E11" s="17">
        <v>62000</v>
      </c>
      <c r="F11" s="16" t="str">
        <f t="shared" ref="F11:F19" si="0">VLOOKUP(D11,$K$10:$L$13,2,0)</f>
        <v>Linda White</v>
      </c>
      <c r="G11" s="18" t="str">
        <v>Small Appliances</v>
      </c>
      <c r="H11" s="18" t="str">
        <f t="shared" ref="H11:H19" si="1">INDEX($J$10:$J$13,MATCH(D11,$K$10:$K$13,0))</f>
        <v>Small Appliances</v>
      </c>
      <c r="J11" t="s">
        <v>176</v>
      </c>
      <c r="K11">
        <v>102</v>
      </c>
      <c r="L11" s="25" t="s">
        <v>139</v>
      </c>
    </row>
    <row r="12" spans="1:18" x14ac:dyDescent="0.4">
      <c r="B12" s="4">
        <v>3</v>
      </c>
      <c r="C12" s="4" t="s">
        <v>105</v>
      </c>
      <c r="D12" s="4">
        <v>103</v>
      </c>
      <c r="E12" s="17">
        <v>71000</v>
      </c>
      <c r="F12" s="16" t="str">
        <f t="shared" si="0"/>
        <v>Sam Brown</v>
      </c>
      <c r="G12" s="18" t="str">
        <v>Furnture</v>
      </c>
      <c r="H12" s="18" t="str">
        <f t="shared" si="1"/>
        <v>Furnture</v>
      </c>
      <c r="J12" t="s">
        <v>177</v>
      </c>
      <c r="K12">
        <v>103</v>
      </c>
      <c r="L12" s="25" t="s">
        <v>140</v>
      </c>
    </row>
    <row r="13" spans="1:18" x14ac:dyDescent="0.4">
      <c r="B13" s="4">
        <v>4</v>
      </c>
      <c r="C13" s="4" t="s">
        <v>106</v>
      </c>
      <c r="D13" s="4">
        <v>101</v>
      </c>
      <c r="E13" s="17">
        <v>48000</v>
      </c>
      <c r="F13" s="16" t="str">
        <f t="shared" si="0"/>
        <v>Tom Evans</v>
      </c>
      <c r="G13" s="18" t="str">
        <v>White Goods</v>
      </c>
      <c r="H13" s="18" t="str">
        <f t="shared" si="1"/>
        <v>White Goods</v>
      </c>
      <c r="J13" t="s">
        <v>178</v>
      </c>
      <c r="K13">
        <v>104</v>
      </c>
      <c r="L13" s="25" t="s">
        <v>141</v>
      </c>
    </row>
    <row r="14" spans="1:18" x14ac:dyDescent="0.4">
      <c r="B14" s="4">
        <v>5</v>
      </c>
      <c r="C14" s="4" t="s">
        <v>108</v>
      </c>
      <c r="D14" s="4">
        <v>102</v>
      </c>
      <c r="E14" s="17">
        <v>69000</v>
      </c>
      <c r="F14" s="16" t="str">
        <f t="shared" si="0"/>
        <v>Linda White</v>
      </c>
      <c r="G14" s="18" t="str">
        <v>Small Appliances</v>
      </c>
      <c r="H14" s="18" t="str">
        <f t="shared" si="1"/>
        <v>Small Appliances</v>
      </c>
    </row>
    <row r="15" spans="1:18" x14ac:dyDescent="0.4">
      <c r="B15" s="4">
        <v>6</v>
      </c>
      <c r="C15" s="4" t="s">
        <v>110</v>
      </c>
      <c r="D15" s="4">
        <v>104</v>
      </c>
      <c r="E15" s="17">
        <v>75000</v>
      </c>
      <c r="F15" s="16" t="str">
        <f t="shared" si="0"/>
        <v>Nancy Lee</v>
      </c>
      <c r="G15" s="18" t="str">
        <v>Brown Goods</v>
      </c>
      <c r="H15" s="18" t="str">
        <f t="shared" si="1"/>
        <v>Brown Goods</v>
      </c>
    </row>
    <row r="16" spans="1:18" x14ac:dyDescent="0.4">
      <c r="B16" s="4">
        <v>7</v>
      </c>
      <c r="C16" s="4" t="s">
        <v>112</v>
      </c>
      <c r="D16" s="4">
        <v>103</v>
      </c>
      <c r="E16" s="17">
        <v>73000</v>
      </c>
      <c r="F16" s="16" t="str">
        <f t="shared" si="0"/>
        <v>Sam Brown</v>
      </c>
      <c r="G16" s="18" t="str">
        <v>Furnture</v>
      </c>
      <c r="H16" s="18" t="str">
        <f t="shared" si="1"/>
        <v>Furnture</v>
      </c>
    </row>
    <row r="17" spans="2:8" x14ac:dyDescent="0.4">
      <c r="B17" s="4">
        <v>8</v>
      </c>
      <c r="C17" s="4" t="s">
        <v>129</v>
      </c>
      <c r="D17" s="4">
        <v>101</v>
      </c>
      <c r="E17" s="17">
        <v>64000</v>
      </c>
      <c r="F17" s="16" t="str">
        <f t="shared" si="0"/>
        <v>Tom Evans</v>
      </c>
      <c r="G17" s="18" t="str">
        <v>White Goods</v>
      </c>
      <c r="H17" s="18" t="str">
        <f t="shared" si="1"/>
        <v>White Goods</v>
      </c>
    </row>
    <row r="18" spans="2:8" x14ac:dyDescent="0.4">
      <c r="B18" s="4">
        <v>9</v>
      </c>
      <c r="C18" s="4" t="s">
        <v>130</v>
      </c>
      <c r="D18" s="4">
        <v>104</v>
      </c>
      <c r="E18" s="17">
        <v>76000</v>
      </c>
      <c r="F18" s="16" t="str">
        <f t="shared" si="0"/>
        <v>Nancy Lee</v>
      </c>
      <c r="G18" s="18" t="str">
        <v>Brown Goods</v>
      </c>
      <c r="H18" s="18" t="str">
        <f t="shared" si="1"/>
        <v>Brown Goods</v>
      </c>
    </row>
    <row r="19" spans="2:8" x14ac:dyDescent="0.4">
      <c r="B19" s="4">
        <v>10</v>
      </c>
      <c r="C19" s="4" t="s">
        <v>131</v>
      </c>
      <c r="D19" s="4">
        <v>102</v>
      </c>
      <c r="E19" s="17">
        <v>60000</v>
      </c>
      <c r="F19" s="16" t="str">
        <f t="shared" si="0"/>
        <v>Linda White</v>
      </c>
      <c r="G19" s="18" t="str">
        <v>Small Appliances</v>
      </c>
      <c r="H19" s="18" t="str">
        <f t="shared" si="1"/>
        <v>Small Appliances</v>
      </c>
    </row>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9E3F0-0949-4A6A-8C7A-D5D8C4450A99}">
  <dimension ref="A1:P16"/>
  <sheetViews>
    <sheetView showGridLines="0" zoomScaleNormal="100" workbookViewId="0">
      <selection activeCell="G16" sqref="G16"/>
    </sheetView>
  </sheetViews>
  <sheetFormatPr defaultColWidth="9.109375" defaultRowHeight="16.8" x14ac:dyDescent="0.4"/>
  <cols>
    <col min="1" max="1" width="3.44140625" style="4" customWidth="1"/>
    <col min="2" max="2" width="10.109375" style="4" bestFit="1" customWidth="1"/>
    <col min="3" max="3" width="13.6640625" style="4" bestFit="1" customWidth="1"/>
    <col min="4" max="4" width="37.44140625" style="4" bestFit="1" customWidth="1"/>
    <col min="5" max="5" width="14.6640625" style="4" bestFit="1" customWidth="1"/>
    <col min="6" max="6" width="10.109375" style="4" customWidth="1"/>
    <col min="7" max="7" width="26" style="4" bestFit="1" customWidth="1"/>
    <col min="8" max="8" width="16" style="4" customWidth="1"/>
    <col min="9" max="9" width="12.33203125" style="4" customWidth="1"/>
    <col min="10" max="10" width="16.88671875" style="4" customWidth="1"/>
    <col min="11" max="11" width="9.33203125" style="4" bestFit="1" customWidth="1"/>
    <col min="12" max="15" width="9.33203125" style="4" customWidth="1"/>
    <col min="16" max="16" width="17" style="4" bestFit="1" customWidth="1"/>
    <col min="17" max="18" width="15.88671875" style="4" customWidth="1"/>
    <col min="19" max="16384" width="9.109375" style="4"/>
  </cols>
  <sheetData>
    <row r="1" spans="1:16" s="9" customFormat="1" ht="48.75" customHeight="1" x14ac:dyDescent="0.4">
      <c r="A1" s="7" t="s">
        <v>120</v>
      </c>
      <c r="B1" s="7"/>
      <c r="C1" s="7"/>
      <c r="D1" s="7"/>
      <c r="E1" s="7"/>
      <c r="F1" s="7"/>
      <c r="G1" s="7"/>
      <c r="H1" s="7"/>
      <c r="I1" s="7"/>
      <c r="J1" s="7"/>
      <c r="K1" s="7"/>
      <c r="L1" s="7"/>
      <c r="M1" s="7"/>
      <c r="N1" s="7"/>
      <c r="O1" s="7"/>
      <c r="P1" s="7"/>
    </row>
    <row r="3" spans="1:16" x14ac:dyDescent="0.4">
      <c r="B3" s="4" t="s">
        <v>160</v>
      </c>
    </row>
    <row r="4" spans="1:16" x14ac:dyDescent="0.4">
      <c r="B4" s="4" t="str">
        <f ca="1">_xlfn.IFNA(_xlfn.FORMULATEXT(G10),"")</f>
        <v>=TEXTJOIN(" - ",FALSE,C10,TEXT(F10,"$#,##0.00"))</v>
      </c>
    </row>
    <row r="6" spans="1:16" x14ac:dyDescent="0.4">
      <c r="B6" s="4" t="s">
        <v>161</v>
      </c>
    </row>
    <row r="7" spans="1:16" x14ac:dyDescent="0.4">
      <c r="B7" s="4" t="str">
        <f ca="1">_xlfn.IFNA(_xlfn.FORMULATEXT(H10),"")</f>
        <v/>
      </c>
    </row>
    <row r="8" spans="1:16" x14ac:dyDescent="0.4">
      <c r="B8" s="32"/>
    </row>
    <row r="9" spans="1:16" x14ac:dyDescent="0.4">
      <c r="B9" s="22" t="s">
        <v>142</v>
      </c>
      <c r="C9" s="22" t="s">
        <v>143</v>
      </c>
      <c r="D9" s="22" t="s">
        <v>144</v>
      </c>
      <c r="E9" s="22" t="s">
        <v>145</v>
      </c>
      <c r="F9" s="23" t="s">
        <v>146</v>
      </c>
      <c r="G9" s="22" t="s">
        <v>179</v>
      </c>
      <c r="H9" s="22" t="s">
        <v>180</v>
      </c>
      <c r="I9" s="22" t="s">
        <v>181</v>
      </c>
      <c r="J9" s="22" t="s">
        <v>182</v>
      </c>
    </row>
    <row r="10" spans="1:16" x14ac:dyDescent="0.4">
      <c r="B10">
        <v>101</v>
      </c>
      <c r="C10" t="s">
        <v>147</v>
      </c>
      <c r="D10" t="s">
        <v>148</v>
      </c>
      <c r="E10" t="s">
        <v>149</v>
      </c>
      <c r="F10" s="21">
        <v>1200</v>
      </c>
      <c r="G10" s="27" t="str">
        <f>_xlfn.TEXTJOIN(" - ",FALSE,C10,TEXT(F10,"$#,##0.00"))</f>
        <v>Laptop - $1,200.00</v>
      </c>
      <c r="H10" s="27" t="s">
        <v>244</v>
      </c>
      <c r="I10" s="27" t="s">
        <v>245</v>
      </c>
      <c r="J10" s="27" t="s">
        <v>246</v>
      </c>
    </row>
    <row r="11" spans="1:16" x14ac:dyDescent="0.4">
      <c r="B11">
        <v>102</v>
      </c>
      <c r="C11" t="s">
        <v>150</v>
      </c>
      <c r="D11" t="s">
        <v>151</v>
      </c>
      <c r="E11" t="s">
        <v>152</v>
      </c>
      <c r="F11" s="21">
        <v>800</v>
      </c>
      <c r="G11" s="27" t="str">
        <f t="shared" ref="G11:G14" si="0">_xlfn.TEXTJOIN(" - ",FALSE,C11, "$"&amp; F11)</f>
        <v>Smartphone - $800</v>
      </c>
      <c r="H11" s="27" t="s">
        <v>247</v>
      </c>
      <c r="I11" s="27" t="s">
        <v>248</v>
      </c>
      <c r="J11" s="27" t="s">
        <v>249</v>
      </c>
    </row>
    <row r="12" spans="1:16" x14ac:dyDescent="0.4">
      <c r="B12">
        <v>103</v>
      </c>
      <c r="C12" t="s">
        <v>153</v>
      </c>
      <c r="D12" t="s">
        <v>154</v>
      </c>
      <c r="E12" t="s">
        <v>155</v>
      </c>
      <c r="F12" s="21">
        <v>600</v>
      </c>
      <c r="G12" s="27" t="str">
        <f t="shared" si="0"/>
        <v>Tablet - $600</v>
      </c>
      <c r="H12" s="27" t="s">
        <v>250</v>
      </c>
      <c r="I12" s="27" t="s">
        <v>251</v>
      </c>
      <c r="J12" s="27" t="s">
        <v>252</v>
      </c>
    </row>
    <row r="13" spans="1:16" x14ac:dyDescent="0.4">
      <c r="B13">
        <v>104</v>
      </c>
      <c r="C13" t="s">
        <v>156</v>
      </c>
      <c r="D13" t="s">
        <v>183</v>
      </c>
      <c r="E13" t="s">
        <v>157</v>
      </c>
      <c r="F13" s="21">
        <v>580</v>
      </c>
      <c r="G13" s="27" t="str">
        <f t="shared" si="0"/>
        <v>Headphones - $580</v>
      </c>
      <c r="H13" s="27" t="s">
        <v>253</v>
      </c>
      <c r="I13" s="27" t="s">
        <v>254</v>
      </c>
      <c r="J13" s="27" t="s">
        <v>255</v>
      </c>
    </row>
    <row r="14" spans="1:16" x14ac:dyDescent="0.4">
      <c r="B14">
        <v>105</v>
      </c>
      <c r="C14" t="s">
        <v>158</v>
      </c>
      <c r="D14" t="s">
        <v>184</v>
      </c>
      <c r="E14" t="s">
        <v>159</v>
      </c>
      <c r="F14" s="21">
        <v>490</v>
      </c>
      <c r="G14" s="27" t="str">
        <f t="shared" si="0"/>
        <v>Smartwatch - $490</v>
      </c>
      <c r="H14" s="27" t="s">
        <v>256</v>
      </c>
      <c r="I14" s="27" t="s">
        <v>257</v>
      </c>
      <c r="J14" s="27" t="s">
        <v>258</v>
      </c>
    </row>
    <row r="15" spans="1:16" x14ac:dyDescent="0.4">
      <c r="G15"/>
      <c r="H15"/>
      <c r="I15"/>
      <c r="J15"/>
    </row>
    <row r="16" spans="1:16" x14ac:dyDescent="0.4">
      <c r="G16"/>
      <c r="H16"/>
      <c r="I16"/>
      <c r="J16"/>
    </row>
  </sheetData>
  <phoneticPr fontId="9" type="noConversion"/>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A615A-F5F6-4A30-AF8A-9C8A96364A36}">
  <dimension ref="A1:P16"/>
  <sheetViews>
    <sheetView showGridLines="0" workbookViewId="0">
      <selection activeCell="H11" sqref="H11"/>
    </sheetView>
  </sheetViews>
  <sheetFormatPr defaultColWidth="9.109375" defaultRowHeight="16.8" x14ac:dyDescent="0.4"/>
  <cols>
    <col min="1" max="1" width="3.44140625" style="4" customWidth="1"/>
    <col min="2" max="2" width="10.109375" style="4" bestFit="1" customWidth="1"/>
    <col min="3" max="3" width="13.6640625" style="4" bestFit="1" customWidth="1"/>
    <col min="4" max="4" width="37.44140625" style="4" bestFit="1" customWidth="1"/>
    <col min="5" max="5" width="14.6640625" style="4" bestFit="1" customWidth="1"/>
    <col min="6" max="6" width="10.109375" style="4" customWidth="1"/>
    <col min="7" max="7" width="26" style="4" bestFit="1" customWidth="1"/>
    <col min="8" max="8" width="16" style="4" customWidth="1"/>
    <col min="9" max="9" width="12.33203125" style="4" customWidth="1"/>
    <col min="10" max="10" width="16.88671875" style="4" customWidth="1"/>
    <col min="11" max="11" width="9.33203125" style="4" bestFit="1" customWidth="1"/>
    <col min="12" max="15" width="9.33203125" style="4" customWidth="1"/>
    <col min="16" max="16" width="17" style="4" bestFit="1" customWidth="1"/>
    <col min="17" max="18" width="15.88671875" style="4" customWidth="1"/>
    <col min="19" max="16384" width="9.109375" style="4"/>
  </cols>
  <sheetData>
    <row r="1" spans="1:16" s="9" customFormat="1" ht="48.75" customHeight="1" x14ac:dyDescent="0.4">
      <c r="A1" s="7" t="s">
        <v>236</v>
      </c>
      <c r="B1" s="7"/>
      <c r="C1" s="7"/>
      <c r="D1" s="7"/>
      <c r="E1" s="7"/>
      <c r="F1" s="7"/>
      <c r="G1" s="7"/>
      <c r="H1" s="7"/>
      <c r="I1" s="7"/>
      <c r="J1" s="7"/>
      <c r="K1" s="7"/>
      <c r="L1" s="7"/>
      <c r="M1" s="7"/>
      <c r="N1" s="7"/>
      <c r="O1" s="7"/>
      <c r="P1" s="7"/>
    </row>
    <row r="3" spans="1:16" x14ac:dyDescent="0.4">
      <c r="B3" s="4" t="s">
        <v>160</v>
      </c>
    </row>
    <row r="4" spans="1:16" x14ac:dyDescent="0.4">
      <c r="B4" s="4" t="str">
        <f ca="1">_xlfn.IFNA(_xlfn.FORMULATEXT(G10),"")</f>
        <v>=C10&amp;" - "&amp;TEXT(F10,"$#,###.00")</v>
      </c>
    </row>
    <row r="6" spans="1:16" x14ac:dyDescent="0.4">
      <c r="B6" s="4" t="s">
        <v>161</v>
      </c>
    </row>
    <row r="7" spans="1:16" x14ac:dyDescent="0.4">
      <c r="B7" s="4" t="str">
        <f ca="1">_xlfn.IFNA(_xlfn.FORMULATEXT(H10),"")</f>
        <v>=_xlfn.TEXTSPLIT(D10,";")</v>
      </c>
    </row>
    <row r="8" spans="1:16" x14ac:dyDescent="0.4">
      <c r="B8" s="32"/>
    </row>
    <row r="9" spans="1:16" x14ac:dyDescent="0.4">
      <c r="B9" s="22" t="s">
        <v>142</v>
      </c>
      <c r="C9" s="22" t="s">
        <v>143</v>
      </c>
      <c r="D9" s="22" t="s">
        <v>144</v>
      </c>
      <c r="E9" s="22" t="s">
        <v>145</v>
      </c>
      <c r="F9" s="23" t="s">
        <v>146</v>
      </c>
      <c r="G9" s="22" t="s">
        <v>179</v>
      </c>
      <c r="H9" s="22" t="s">
        <v>180</v>
      </c>
      <c r="I9" s="22" t="s">
        <v>181</v>
      </c>
      <c r="J9" s="22" t="s">
        <v>182</v>
      </c>
    </row>
    <row r="10" spans="1:16" x14ac:dyDescent="0.4">
      <c r="B10">
        <v>101</v>
      </c>
      <c r="C10" t="s">
        <v>147</v>
      </c>
      <c r="D10" t="s">
        <v>148</v>
      </c>
      <c r="E10" t="s">
        <v>149</v>
      </c>
      <c r="F10" s="21">
        <v>1200</v>
      </c>
      <c r="G10" s="27" t="str">
        <f>C10&amp;" - "&amp;TEXT(F10,"$#,###.00")</f>
        <v>Laptop - $1,200.00</v>
      </c>
      <c r="H10" s="27" t="e" cm="1" vm="1">
        <f t="array" aca="1" ref="H10" ca="1">_xlfn.TEXTSPLIT(D10,";")</f>
        <v>#NAME?</v>
      </c>
      <c r="I10" s="27"/>
      <c r="J10" s="27"/>
    </row>
    <row r="11" spans="1:16" x14ac:dyDescent="0.4">
      <c r="B11">
        <v>102</v>
      </c>
      <c r="C11" t="s">
        <v>150</v>
      </c>
      <c r="D11" t="s">
        <v>151</v>
      </c>
      <c r="E11" t="s">
        <v>152</v>
      </c>
      <c r="F11" s="21">
        <v>800</v>
      </c>
      <c r="G11" s="27" t="str">
        <f t="shared" ref="G11:G14" si="0">C11&amp;" - "&amp;TEXT(F11,"$#,###.00")</f>
        <v>Smartphone - $800.00</v>
      </c>
      <c r="H11" s="27" t="str" cm="1">
        <f t="array" ref="H11:J11">_xlfn.TEXTSPLIT(D11,";")</f>
        <v>Snapdragon 888</v>
      </c>
      <c r="I11" s="27" t="str">
        <v>6GB RAM</v>
      </c>
      <c r="J11" s="27" t="str">
        <v>128GB Storage</v>
      </c>
    </row>
    <row r="12" spans="1:16" x14ac:dyDescent="0.4">
      <c r="B12">
        <v>103</v>
      </c>
      <c r="C12" t="s">
        <v>153</v>
      </c>
      <c r="D12" t="s">
        <v>154</v>
      </c>
      <c r="E12" t="s">
        <v>155</v>
      </c>
      <c r="F12" s="21">
        <v>600</v>
      </c>
      <c r="G12" s="27" t="str">
        <f t="shared" si="0"/>
        <v>Tablet - $600.00</v>
      </c>
      <c r="H12" s="27" t="str" cm="1">
        <f t="array" ref="H12:J12">_xlfn.TEXTSPLIT(D12,";")</f>
        <v>Apple A14</v>
      </c>
      <c r="I12" s="27" t="str">
        <v>4GB RAM</v>
      </c>
      <c r="J12" s="27" t="str">
        <v>64GB Storage</v>
      </c>
    </row>
    <row r="13" spans="1:16" x14ac:dyDescent="0.4">
      <c r="B13">
        <v>104</v>
      </c>
      <c r="C13" t="s">
        <v>156</v>
      </c>
      <c r="D13" t="s">
        <v>183</v>
      </c>
      <c r="E13" t="s">
        <v>157</v>
      </c>
      <c r="F13" s="21">
        <v>580</v>
      </c>
      <c r="G13" s="27" t="str">
        <f t="shared" si="0"/>
        <v>Headphones - $580.00</v>
      </c>
      <c r="H13" s="27" t="str" cm="1">
        <f t="array" ref="H13:J13">_xlfn.TEXTSPLIT(D13,";")</f>
        <v>Sony</v>
      </c>
      <c r="I13" s="27" t="str">
        <v>Wireless</v>
      </c>
      <c r="J13" s="27" t="str">
        <v>Noise Cancelling</v>
      </c>
    </row>
    <row r="14" spans="1:16" x14ac:dyDescent="0.4">
      <c r="B14">
        <v>105</v>
      </c>
      <c r="C14" t="s">
        <v>158</v>
      </c>
      <c r="D14" t="s">
        <v>184</v>
      </c>
      <c r="E14" t="s">
        <v>159</v>
      </c>
      <c r="F14" s="21">
        <v>490</v>
      </c>
      <c r="G14" s="27" t="str">
        <f t="shared" si="0"/>
        <v>Smartwatch - $490.00</v>
      </c>
      <c r="H14" s="27" t="str" cm="1">
        <f t="array" ref="H14:J14">_xlfn.TEXTSPLIT(D14,";")</f>
        <v>Google</v>
      </c>
      <c r="I14" s="27" t="str">
        <v>Bluetooth</v>
      </c>
      <c r="J14" s="27" t="str">
        <v>Water Resistant</v>
      </c>
    </row>
    <row r="15" spans="1:16" x14ac:dyDescent="0.4">
      <c r="G15"/>
      <c r="H15"/>
      <c r="I15"/>
      <c r="J15"/>
    </row>
    <row r="16" spans="1:16" x14ac:dyDescent="0.4">
      <c r="G16"/>
      <c r="H16"/>
      <c r="I16"/>
      <c r="J16"/>
    </row>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14D53-C550-497B-A06E-12A1BFC87D2A}">
  <dimension ref="A1:P83"/>
  <sheetViews>
    <sheetView showGridLines="0" zoomScaleNormal="100" workbookViewId="0">
      <selection activeCell="O13" sqref="O13"/>
    </sheetView>
  </sheetViews>
  <sheetFormatPr defaultColWidth="9.109375" defaultRowHeight="16.8" x14ac:dyDescent="0.4"/>
  <cols>
    <col min="1" max="1" width="3.44140625" style="4" customWidth="1"/>
    <col min="2" max="2" width="7.33203125" style="4" bestFit="1" customWidth="1"/>
    <col min="3" max="3" width="12.33203125" style="4" bestFit="1" customWidth="1"/>
    <col min="4" max="4" width="15.5546875" style="4" bestFit="1" customWidth="1"/>
    <col min="5" max="5" width="9.109375" style="4" bestFit="1" customWidth="1"/>
    <col min="6" max="6" width="23" style="4" customWidth="1"/>
    <col min="7" max="7" width="12.5546875" style="4" bestFit="1" customWidth="1"/>
    <col min="8" max="8" width="11.6640625" style="4" bestFit="1" customWidth="1"/>
    <col min="9" max="9" width="15.88671875" style="4" bestFit="1" customWidth="1"/>
    <col min="10" max="10" width="10" style="4" bestFit="1" customWidth="1"/>
    <col min="11" max="11" width="9.33203125" style="4" bestFit="1" customWidth="1"/>
    <col min="12" max="15" width="9.33203125" style="4" customWidth="1"/>
    <col min="16" max="16" width="17" style="4" bestFit="1" customWidth="1"/>
    <col min="17" max="18" width="15.88671875" style="4" customWidth="1"/>
    <col min="19" max="16384" width="9.109375" style="4"/>
  </cols>
  <sheetData>
    <row r="1" spans="1:16" s="9" customFormat="1" ht="48.75" customHeight="1" x14ac:dyDescent="0.4">
      <c r="A1" s="7" t="s">
        <v>119</v>
      </c>
      <c r="B1" s="7"/>
      <c r="C1" s="7"/>
      <c r="D1" s="7"/>
      <c r="E1" s="7"/>
      <c r="F1" s="7"/>
      <c r="G1" s="7"/>
      <c r="H1" s="7"/>
      <c r="I1" s="7"/>
      <c r="J1" s="7"/>
      <c r="K1" s="7"/>
      <c r="L1" s="7"/>
      <c r="M1" s="7"/>
      <c r="N1" s="7"/>
      <c r="O1" s="7"/>
      <c r="P1" s="7"/>
    </row>
    <row r="3" spans="1:16" x14ac:dyDescent="0.4">
      <c r="B3" s="4" t="s">
        <v>241</v>
      </c>
    </row>
    <row r="4" spans="1:16" x14ac:dyDescent="0.4">
      <c r="B4" s="4" t="s">
        <v>226</v>
      </c>
    </row>
    <row r="5" spans="1:16" x14ac:dyDescent="0.4">
      <c r="B5" s="4" t="s">
        <v>174</v>
      </c>
    </row>
    <row r="6" spans="1:16" x14ac:dyDescent="0.4">
      <c r="B6" s="4" t="s">
        <v>225</v>
      </c>
    </row>
    <row r="8" spans="1:16" x14ac:dyDescent="0.4">
      <c r="B8" t="s">
        <v>54</v>
      </c>
      <c r="C8" t="s">
        <v>55</v>
      </c>
      <c r="D8" t="s">
        <v>52</v>
      </c>
      <c r="E8" t="s">
        <v>53</v>
      </c>
      <c r="G8" s="36" t="s">
        <v>170</v>
      </c>
      <c r="H8" t="s">
        <v>172</v>
      </c>
      <c r="I8" t="s">
        <v>259</v>
      </c>
    </row>
    <row r="9" spans="1:16" x14ac:dyDescent="0.4">
      <c r="B9">
        <v>2022</v>
      </c>
      <c r="C9" t="s">
        <v>56</v>
      </c>
      <c r="D9" t="s">
        <v>57</v>
      </c>
      <c r="E9" s="8">
        <v>20000</v>
      </c>
      <c r="G9" s="30" t="s">
        <v>67</v>
      </c>
      <c r="H9" s="8">
        <v>383800</v>
      </c>
      <c r="I9" s="31">
        <v>0.48077163973443565</v>
      </c>
    </row>
    <row r="10" spans="1:16" x14ac:dyDescent="0.4">
      <c r="B10">
        <v>2020</v>
      </c>
      <c r="C10" t="s">
        <v>58</v>
      </c>
      <c r="D10" t="s">
        <v>59</v>
      </c>
      <c r="E10" s="8">
        <v>3700</v>
      </c>
      <c r="G10" s="30" t="s">
        <v>65</v>
      </c>
      <c r="H10" s="8">
        <v>71200</v>
      </c>
      <c r="I10" s="31">
        <v>8.9189527746461231E-2</v>
      </c>
    </row>
    <row r="11" spans="1:16" x14ac:dyDescent="0.4">
      <c r="B11">
        <v>2022</v>
      </c>
      <c r="C11" t="s">
        <v>58</v>
      </c>
      <c r="D11" t="s">
        <v>60</v>
      </c>
      <c r="E11" s="8">
        <v>4000</v>
      </c>
      <c r="G11" s="30" t="s">
        <v>58</v>
      </c>
      <c r="H11" s="8">
        <v>209400</v>
      </c>
      <c r="I11" s="31">
        <v>0.26230740323186774</v>
      </c>
    </row>
    <row r="12" spans="1:16" x14ac:dyDescent="0.4">
      <c r="B12">
        <v>2020</v>
      </c>
      <c r="C12" t="s">
        <v>58</v>
      </c>
      <c r="D12" t="s">
        <v>61</v>
      </c>
      <c r="E12" s="8">
        <v>13300</v>
      </c>
      <c r="G12" s="30" t="s">
        <v>56</v>
      </c>
      <c r="H12" s="8">
        <v>133900</v>
      </c>
      <c r="I12" s="31">
        <v>0.16773142928723536</v>
      </c>
    </row>
    <row r="13" spans="1:16" x14ac:dyDescent="0.4">
      <c r="B13">
        <v>2022</v>
      </c>
      <c r="C13" t="s">
        <v>58</v>
      </c>
      <c r="D13" t="s">
        <v>62</v>
      </c>
      <c r="E13" s="8">
        <v>36000</v>
      </c>
      <c r="G13" s="30" t="s">
        <v>171</v>
      </c>
      <c r="H13" s="8">
        <v>798300</v>
      </c>
      <c r="I13" s="31">
        <v>1</v>
      </c>
    </row>
    <row r="14" spans="1:16" x14ac:dyDescent="0.4">
      <c r="B14">
        <v>2020</v>
      </c>
      <c r="C14" t="s">
        <v>56</v>
      </c>
      <c r="D14" t="s">
        <v>63</v>
      </c>
      <c r="E14" s="8">
        <v>2300</v>
      </c>
      <c r="G14"/>
      <c r="H14"/>
      <c r="I14"/>
    </row>
    <row r="15" spans="1:16" x14ac:dyDescent="0.4">
      <c r="B15">
        <v>2021</v>
      </c>
      <c r="C15" t="s">
        <v>58</v>
      </c>
      <c r="D15" t="s">
        <v>59</v>
      </c>
      <c r="E15" s="8">
        <v>2300</v>
      </c>
      <c r="G15"/>
      <c r="H15"/>
      <c r="I15"/>
    </row>
    <row r="16" spans="1:16" x14ac:dyDescent="0.4">
      <c r="B16">
        <v>2021</v>
      </c>
      <c r="C16" t="s">
        <v>56</v>
      </c>
      <c r="D16" t="s">
        <v>64</v>
      </c>
      <c r="E16" s="8">
        <v>3400</v>
      </c>
      <c r="G16"/>
      <c r="H16"/>
      <c r="I16"/>
    </row>
    <row r="17" spans="2:9" x14ac:dyDescent="0.4">
      <c r="B17">
        <v>2021</v>
      </c>
      <c r="C17" t="s">
        <v>65</v>
      </c>
      <c r="D17" t="s">
        <v>66</v>
      </c>
      <c r="E17" s="8">
        <v>6300</v>
      </c>
      <c r="G17"/>
      <c r="H17"/>
      <c r="I17"/>
    </row>
    <row r="18" spans="2:9" x14ac:dyDescent="0.4">
      <c r="B18">
        <v>2022</v>
      </c>
      <c r="C18" t="s">
        <v>56</v>
      </c>
      <c r="D18" t="s">
        <v>64</v>
      </c>
      <c r="E18" s="8">
        <v>5400</v>
      </c>
      <c r="G18"/>
      <c r="H18"/>
      <c r="I18"/>
    </row>
    <row r="19" spans="2:9" x14ac:dyDescent="0.4">
      <c r="B19">
        <v>2021</v>
      </c>
      <c r="C19" t="s">
        <v>67</v>
      </c>
      <c r="D19" t="s">
        <v>68</v>
      </c>
      <c r="E19" s="8">
        <v>17000</v>
      </c>
      <c r="G19"/>
      <c r="H19"/>
      <c r="I19"/>
    </row>
    <row r="20" spans="2:9" x14ac:dyDescent="0.4">
      <c r="B20">
        <v>2021</v>
      </c>
      <c r="C20" t="s">
        <v>67</v>
      </c>
      <c r="D20" t="s">
        <v>69</v>
      </c>
      <c r="E20" s="8">
        <v>21600</v>
      </c>
      <c r="G20"/>
      <c r="H20"/>
      <c r="I20"/>
    </row>
    <row r="21" spans="2:9" x14ac:dyDescent="0.4">
      <c r="B21">
        <v>2021</v>
      </c>
      <c r="C21" t="s">
        <v>67</v>
      </c>
      <c r="D21" t="s">
        <v>70</v>
      </c>
      <c r="E21" s="8">
        <v>29800</v>
      </c>
      <c r="G21"/>
      <c r="H21"/>
      <c r="I21"/>
    </row>
    <row r="22" spans="2:9" x14ac:dyDescent="0.4">
      <c r="B22">
        <v>2021</v>
      </c>
      <c r="C22" t="s">
        <v>56</v>
      </c>
      <c r="D22" t="s">
        <v>71</v>
      </c>
      <c r="E22" s="8">
        <v>1000</v>
      </c>
      <c r="G22"/>
      <c r="H22"/>
      <c r="I22"/>
    </row>
    <row r="23" spans="2:9" x14ac:dyDescent="0.4">
      <c r="B23">
        <v>2020</v>
      </c>
      <c r="C23" t="s">
        <v>58</v>
      </c>
      <c r="D23" t="s">
        <v>72</v>
      </c>
      <c r="E23" s="8">
        <v>6700</v>
      </c>
      <c r="G23"/>
      <c r="H23"/>
      <c r="I23"/>
    </row>
    <row r="24" spans="2:9" x14ac:dyDescent="0.4">
      <c r="B24">
        <v>2022</v>
      </c>
      <c r="C24" t="s">
        <v>56</v>
      </c>
      <c r="D24" t="s">
        <v>71</v>
      </c>
      <c r="E24" s="8">
        <v>600</v>
      </c>
      <c r="G24"/>
      <c r="H24"/>
      <c r="I24"/>
    </row>
    <row r="25" spans="2:9" x14ac:dyDescent="0.4">
      <c r="B25">
        <v>2020</v>
      </c>
      <c r="C25" t="s">
        <v>65</v>
      </c>
      <c r="D25" t="s">
        <v>73</v>
      </c>
      <c r="E25" s="8">
        <v>3500</v>
      </c>
      <c r="G25"/>
      <c r="H25"/>
      <c r="I25"/>
    </row>
    <row r="26" spans="2:9" x14ac:dyDescent="0.4">
      <c r="B26">
        <v>2022</v>
      </c>
      <c r="C26" t="s">
        <v>58</v>
      </c>
      <c r="D26" t="s">
        <v>72</v>
      </c>
      <c r="E26" s="8">
        <v>7500</v>
      </c>
    </row>
    <row r="27" spans="2:9" x14ac:dyDescent="0.4">
      <c r="B27">
        <v>2022</v>
      </c>
      <c r="C27" t="s">
        <v>67</v>
      </c>
      <c r="D27" t="s">
        <v>74</v>
      </c>
      <c r="E27" s="8">
        <v>63700</v>
      </c>
    </row>
    <row r="28" spans="2:9" x14ac:dyDescent="0.4">
      <c r="B28">
        <v>2022</v>
      </c>
      <c r="C28" t="s">
        <v>65</v>
      </c>
      <c r="D28" t="s">
        <v>75</v>
      </c>
      <c r="E28" s="8">
        <v>9300</v>
      </c>
    </row>
    <row r="29" spans="2:9" x14ac:dyDescent="0.4">
      <c r="B29">
        <v>2022</v>
      </c>
      <c r="C29" t="s">
        <v>65</v>
      </c>
      <c r="D29" t="s">
        <v>66</v>
      </c>
      <c r="E29" s="8">
        <v>8500</v>
      </c>
    </row>
    <row r="30" spans="2:9" x14ac:dyDescent="0.4">
      <c r="B30">
        <v>2022</v>
      </c>
      <c r="C30" t="s">
        <v>67</v>
      </c>
      <c r="D30" t="s">
        <v>76</v>
      </c>
      <c r="E30" s="8">
        <v>33700</v>
      </c>
    </row>
    <row r="31" spans="2:9" x14ac:dyDescent="0.4">
      <c r="B31">
        <v>2022</v>
      </c>
      <c r="C31" t="s">
        <v>58</v>
      </c>
      <c r="D31" t="s">
        <v>77</v>
      </c>
      <c r="E31" s="8">
        <v>600</v>
      </c>
    </row>
    <row r="32" spans="2:9" x14ac:dyDescent="0.4">
      <c r="B32">
        <v>2020</v>
      </c>
      <c r="C32" t="s">
        <v>65</v>
      </c>
      <c r="D32" t="s">
        <v>66</v>
      </c>
      <c r="E32" s="8">
        <v>3100</v>
      </c>
    </row>
    <row r="33" spans="2:5" x14ac:dyDescent="0.4">
      <c r="B33">
        <v>2022</v>
      </c>
      <c r="C33" t="s">
        <v>67</v>
      </c>
      <c r="D33" t="s">
        <v>78</v>
      </c>
      <c r="E33" s="8">
        <v>30700</v>
      </c>
    </row>
    <row r="34" spans="2:5" x14ac:dyDescent="0.4">
      <c r="B34">
        <v>2021</v>
      </c>
      <c r="C34" t="s">
        <v>67</v>
      </c>
      <c r="D34" t="s">
        <v>78</v>
      </c>
      <c r="E34" s="8">
        <v>16400</v>
      </c>
    </row>
    <row r="35" spans="2:5" x14ac:dyDescent="0.4">
      <c r="B35">
        <v>2021</v>
      </c>
      <c r="C35" t="s">
        <v>67</v>
      </c>
      <c r="D35" t="s">
        <v>76</v>
      </c>
      <c r="E35" s="8">
        <v>22100</v>
      </c>
    </row>
    <row r="36" spans="2:5" x14ac:dyDescent="0.4">
      <c r="B36">
        <v>2022</v>
      </c>
      <c r="C36" t="s">
        <v>67</v>
      </c>
      <c r="D36" t="s">
        <v>68</v>
      </c>
      <c r="E36" s="8">
        <v>34000</v>
      </c>
    </row>
    <row r="37" spans="2:5" x14ac:dyDescent="0.4">
      <c r="B37">
        <v>2020</v>
      </c>
      <c r="C37" t="s">
        <v>67</v>
      </c>
      <c r="D37" t="s">
        <v>78</v>
      </c>
      <c r="E37" s="8">
        <v>700</v>
      </c>
    </row>
    <row r="38" spans="2:5" x14ac:dyDescent="0.4">
      <c r="B38">
        <v>2020</v>
      </c>
      <c r="C38" t="s">
        <v>58</v>
      </c>
      <c r="D38" t="s">
        <v>62</v>
      </c>
      <c r="E38" s="8">
        <v>3300</v>
      </c>
    </row>
    <row r="39" spans="2:5" x14ac:dyDescent="0.4">
      <c r="B39">
        <v>2022</v>
      </c>
      <c r="C39" t="s">
        <v>65</v>
      </c>
      <c r="D39" t="s">
        <v>73</v>
      </c>
      <c r="E39" s="8">
        <v>16900</v>
      </c>
    </row>
    <row r="40" spans="2:5" x14ac:dyDescent="0.4">
      <c r="B40">
        <v>2022</v>
      </c>
      <c r="C40" t="s">
        <v>67</v>
      </c>
      <c r="D40" t="s">
        <v>69</v>
      </c>
      <c r="E40" s="8">
        <v>36700</v>
      </c>
    </row>
    <row r="41" spans="2:5" x14ac:dyDescent="0.4">
      <c r="B41">
        <v>2020</v>
      </c>
      <c r="C41" t="s">
        <v>67</v>
      </c>
      <c r="D41" t="s">
        <v>68</v>
      </c>
      <c r="E41" s="8">
        <v>8300</v>
      </c>
    </row>
    <row r="42" spans="2:5" x14ac:dyDescent="0.4">
      <c r="B42">
        <v>2021</v>
      </c>
      <c r="C42" t="s">
        <v>58</v>
      </c>
      <c r="D42" t="s">
        <v>60</v>
      </c>
      <c r="E42" s="8">
        <v>2900</v>
      </c>
    </row>
    <row r="43" spans="2:5" x14ac:dyDescent="0.4">
      <c r="B43">
        <v>2020</v>
      </c>
      <c r="C43" t="s">
        <v>67</v>
      </c>
      <c r="D43" t="s">
        <v>74</v>
      </c>
      <c r="E43" s="8">
        <v>8700</v>
      </c>
    </row>
    <row r="44" spans="2:5" x14ac:dyDescent="0.4">
      <c r="B44">
        <v>2022</v>
      </c>
      <c r="C44" t="s">
        <v>67</v>
      </c>
      <c r="D44" t="s">
        <v>70</v>
      </c>
      <c r="E44" s="8">
        <v>35000</v>
      </c>
    </row>
    <row r="45" spans="2:5" x14ac:dyDescent="0.4">
      <c r="B45">
        <v>2021</v>
      </c>
      <c r="C45" t="s">
        <v>65</v>
      </c>
      <c r="D45" t="s">
        <v>73</v>
      </c>
      <c r="E45" s="8">
        <v>8300</v>
      </c>
    </row>
    <row r="46" spans="2:5" x14ac:dyDescent="0.4">
      <c r="B46">
        <v>2021</v>
      </c>
      <c r="C46" t="s">
        <v>56</v>
      </c>
      <c r="D46" t="s">
        <v>79</v>
      </c>
      <c r="E46" s="8">
        <v>16700</v>
      </c>
    </row>
    <row r="47" spans="2:5" x14ac:dyDescent="0.4">
      <c r="B47">
        <v>2021</v>
      </c>
      <c r="C47" t="s">
        <v>65</v>
      </c>
      <c r="D47" t="s">
        <v>80</v>
      </c>
      <c r="E47" s="8">
        <v>1800</v>
      </c>
    </row>
    <row r="48" spans="2:5" x14ac:dyDescent="0.4">
      <c r="B48">
        <v>2022</v>
      </c>
      <c r="C48" t="s">
        <v>58</v>
      </c>
      <c r="D48" t="s">
        <v>59</v>
      </c>
      <c r="E48" s="8">
        <v>3700</v>
      </c>
    </row>
    <row r="49" spans="2:5" x14ac:dyDescent="0.4">
      <c r="B49">
        <v>2021</v>
      </c>
      <c r="C49" t="s">
        <v>58</v>
      </c>
      <c r="D49" t="s">
        <v>61</v>
      </c>
      <c r="E49" s="8">
        <v>12000</v>
      </c>
    </row>
    <row r="50" spans="2:5" x14ac:dyDescent="0.4">
      <c r="B50">
        <v>2020</v>
      </c>
      <c r="C50" t="s">
        <v>67</v>
      </c>
      <c r="D50" t="s">
        <v>70</v>
      </c>
      <c r="E50" s="8">
        <v>10000</v>
      </c>
    </row>
    <row r="51" spans="2:5" x14ac:dyDescent="0.4">
      <c r="B51">
        <v>2020</v>
      </c>
      <c r="C51" t="s">
        <v>56</v>
      </c>
      <c r="D51" t="s">
        <v>71</v>
      </c>
      <c r="E51" s="8">
        <v>500</v>
      </c>
    </row>
    <row r="52" spans="2:5" x14ac:dyDescent="0.4">
      <c r="B52">
        <v>2022</v>
      </c>
      <c r="C52" t="s">
        <v>56</v>
      </c>
      <c r="D52" t="s">
        <v>79</v>
      </c>
      <c r="E52" s="8">
        <v>21800</v>
      </c>
    </row>
    <row r="53" spans="2:5" x14ac:dyDescent="0.4">
      <c r="B53">
        <v>2021</v>
      </c>
      <c r="C53" t="s">
        <v>56</v>
      </c>
      <c r="D53" t="s">
        <v>57</v>
      </c>
      <c r="E53" s="8">
        <v>16400</v>
      </c>
    </row>
    <row r="54" spans="2:5" x14ac:dyDescent="0.4">
      <c r="B54">
        <v>2021</v>
      </c>
      <c r="C54" t="s">
        <v>58</v>
      </c>
      <c r="D54" t="s">
        <v>77</v>
      </c>
      <c r="E54" s="8">
        <v>400</v>
      </c>
    </row>
    <row r="55" spans="2:5" x14ac:dyDescent="0.4">
      <c r="B55">
        <v>2020</v>
      </c>
      <c r="C55" t="s">
        <v>58</v>
      </c>
      <c r="D55" t="s">
        <v>81</v>
      </c>
      <c r="E55" s="8">
        <v>3300</v>
      </c>
    </row>
    <row r="56" spans="2:5" x14ac:dyDescent="0.4">
      <c r="B56">
        <v>2022</v>
      </c>
      <c r="C56" t="s">
        <v>56</v>
      </c>
      <c r="D56" t="s">
        <v>63</v>
      </c>
      <c r="E56" s="8">
        <v>5000</v>
      </c>
    </row>
    <row r="57" spans="2:5" x14ac:dyDescent="0.4">
      <c r="B57">
        <v>2021</v>
      </c>
      <c r="C57" t="s">
        <v>56</v>
      </c>
      <c r="D57" t="s">
        <v>63</v>
      </c>
      <c r="E57" s="8">
        <v>3300</v>
      </c>
    </row>
    <row r="58" spans="2:5" x14ac:dyDescent="0.4">
      <c r="B58">
        <v>2020</v>
      </c>
      <c r="C58" t="s">
        <v>56</v>
      </c>
      <c r="D58" t="s">
        <v>82</v>
      </c>
      <c r="E58" s="8">
        <v>800</v>
      </c>
    </row>
    <row r="59" spans="2:5" x14ac:dyDescent="0.4">
      <c r="B59">
        <v>2021</v>
      </c>
      <c r="C59" t="s">
        <v>58</v>
      </c>
      <c r="D59" t="s">
        <v>83</v>
      </c>
      <c r="E59" s="8">
        <v>15600</v>
      </c>
    </row>
    <row r="60" spans="2:5" x14ac:dyDescent="0.4">
      <c r="B60">
        <v>2021</v>
      </c>
      <c r="C60" t="s">
        <v>56</v>
      </c>
      <c r="D60" t="s">
        <v>82</v>
      </c>
      <c r="E60" s="8">
        <v>1500</v>
      </c>
    </row>
    <row r="61" spans="2:5" x14ac:dyDescent="0.4">
      <c r="B61">
        <v>2022</v>
      </c>
      <c r="C61" t="s">
        <v>56</v>
      </c>
      <c r="D61" t="s">
        <v>82</v>
      </c>
      <c r="E61" s="8">
        <v>6200</v>
      </c>
    </row>
    <row r="62" spans="2:5" x14ac:dyDescent="0.4">
      <c r="B62">
        <v>2022</v>
      </c>
      <c r="C62" t="s">
        <v>58</v>
      </c>
      <c r="D62" t="s">
        <v>83</v>
      </c>
      <c r="E62" s="8">
        <v>27000</v>
      </c>
    </row>
    <row r="63" spans="2:5" x14ac:dyDescent="0.4">
      <c r="B63">
        <v>2021</v>
      </c>
      <c r="C63" t="s">
        <v>56</v>
      </c>
      <c r="D63" t="s">
        <v>84</v>
      </c>
      <c r="E63" s="8">
        <v>2800</v>
      </c>
    </row>
    <row r="64" spans="2:5" x14ac:dyDescent="0.4">
      <c r="B64">
        <v>2021</v>
      </c>
      <c r="C64" t="s">
        <v>65</v>
      </c>
      <c r="D64" t="s">
        <v>75</v>
      </c>
      <c r="E64" s="8">
        <v>6700</v>
      </c>
    </row>
    <row r="65" spans="2:5" x14ac:dyDescent="0.4">
      <c r="B65">
        <v>2020</v>
      </c>
      <c r="C65" t="s">
        <v>58</v>
      </c>
      <c r="D65" t="s">
        <v>83</v>
      </c>
      <c r="E65" s="8">
        <v>13300</v>
      </c>
    </row>
    <row r="66" spans="2:5" x14ac:dyDescent="0.4">
      <c r="B66">
        <v>2021</v>
      </c>
      <c r="C66" t="s">
        <v>67</v>
      </c>
      <c r="D66" t="s">
        <v>74</v>
      </c>
      <c r="E66" s="8">
        <v>13800</v>
      </c>
    </row>
    <row r="67" spans="2:5" x14ac:dyDescent="0.4">
      <c r="B67">
        <v>2022</v>
      </c>
      <c r="C67" t="s">
        <v>58</v>
      </c>
      <c r="D67" t="s">
        <v>81</v>
      </c>
      <c r="E67" s="8">
        <v>2400</v>
      </c>
    </row>
    <row r="68" spans="2:5" x14ac:dyDescent="0.4">
      <c r="B68">
        <v>2020</v>
      </c>
      <c r="C68" t="s">
        <v>67</v>
      </c>
      <c r="D68" t="s">
        <v>76</v>
      </c>
      <c r="E68" s="8">
        <v>300</v>
      </c>
    </row>
    <row r="69" spans="2:5" x14ac:dyDescent="0.4">
      <c r="B69">
        <v>2020</v>
      </c>
      <c r="C69" t="s">
        <v>56</v>
      </c>
      <c r="D69" t="s">
        <v>84</v>
      </c>
      <c r="E69" s="8">
        <v>2100</v>
      </c>
    </row>
    <row r="70" spans="2:5" x14ac:dyDescent="0.4">
      <c r="B70">
        <v>2020</v>
      </c>
      <c r="C70" t="s">
        <v>56</v>
      </c>
      <c r="D70" t="s">
        <v>64</v>
      </c>
      <c r="E70" s="8">
        <v>2300</v>
      </c>
    </row>
    <row r="71" spans="2:5" x14ac:dyDescent="0.4">
      <c r="B71">
        <v>2020</v>
      </c>
      <c r="C71" t="s">
        <v>56</v>
      </c>
      <c r="D71" t="s">
        <v>79</v>
      </c>
      <c r="E71" s="8">
        <v>10000</v>
      </c>
    </row>
    <row r="72" spans="2:5" x14ac:dyDescent="0.4">
      <c r="B72">
        <v>2020</v>
      </c>
      <c r="C72" t="s">
        <v>65</v>
      </c>
      <c r="D72" t="s">
        <v>80</v>
      </c>
      <c r="E72" s="8">
        <v>500</v>
      </c>
    </row>
    <row r="73" spans="2:5" x14ac:dyDescent="0.4">
      <c r="B73">
        <v>2021</v>
      </c>
      <c r="C73" t="s">
        <v>58</v>
      </c>
      <c r="D73" t="s">
        <v>72</v>
      </c>
      <c r="E73" s="8">
        <v>3800</v>
      </c>
    </row>
    <row r="74" spans="2:5" x14ac:dyDescent="0.4">
      <c r="B74">
        <v>2020</v>
      </c>
      <c r="C74" t="s">
        <v>65</v>
      </c>
      <c r="D74" t="s">
        <v>75</v>
      </c>
      <c r="E74" s="8">
        <v>3200</v>
      </c>
    </row>
    <row r="75" spans="2:5" x14ac:dyDescent="0.4">
      <c r="B75">
        <v>2022</v>
      </c>
      <c r="C75" t="s">
        <v>58</v>
      </c>
      <c r="D75" t="s">
        <v>61</v>
      </c>
      <c r="E75" s="8">
        <v>23000</v>
      </c>
    </row>
    <row r="76" spans="2:5" x14ac:dyDescent="0.4">
      <c r="B76">
        <v>2020</v>
      </c>
      <c r="C76" t="s">
        <v>58</v>
      </c>
      <c r="D76" t="s">
        <v>60</v>
      </c>
      <c r="E76" s="8">
        <v>700</v>
      </c>
    </row>
    <row r="77" spans="2:5" x14ac:dyDescent="0.4">
      <c r="B77">
        <v>2020</v>
      </c>
      <c r="C77" t="s">
        <v>67</v>
      </c>
      <c r="D77" t="s">
        <v>69</v>
      </c>
      <c r="E77" s="8">
        <v>1300</v>
      </c>
    </row>
    <row r="78" spans="2:5" x14ac:dyDescent="0.4">
      <c r="B78">
        <v>2021</v>
      </c>
      <c r="C78" t="s">
        <v>58</v>
      </c>
      <c r="D78" t="s">
        <v>81</v>
      </c>
      <c r="E78" s="8">
        <v>1300</v>
      </c>
    </row>
    <row r="79" spans="2:5" x14ac:dyDescent="0.4">
      <c r="B79">
        <v>2021</v>
      </c>
      <c r="C79" t="s">
        <v>58</v>
      </c>
      <c r="D79" t="s">
        <v>62</v>
      </c>
      <c r="E79" s="8">
        <v>22100</v>
      </c>
    </row>
    <row r="80" spans="2:5" x14ac:dyDescent="0.4">
      <c r="B80">
        <v>2022</v>
      </c>
      <c r="C80" t="s">
        <v>56</v>
      </c>
      <c r="D80" t="s">
        <v>84</v>
      </c>
      <c r="E80" s="8">
        <v>3100</v>
      </c>
    </row>
    <row r="81" spans="2:5" x14ac:dyDescent="0.4">
      <c r="B81">
        <v>2020</v>
      </c>
      <c r="C81" t="s">
        <v>58</v>
      </c>
      <c r="D81" t="s">
        <v>77</v>
      </c>
      <c r="E81" s="8">
        <v>500</v>
      </c>
    </row>
    <row r="82" spans="2:5" x14ac:dyDescent="0.4">
      <c r="B82">
        <v>2022</v>
      </c>
      <c r="C82" t="s">
        <v>65</v>
      </c>
      <c r="D82" t="s">
        <v>80</v>
      </c>
      <c r="E82" s="8">
        <v>3100</v>
      </c>
    </row>
    <row r="83" spans="2:5" x14ac:dyDescent="0.4">
      <c r="B83">
        <v>2020</v>
      </c>
      <c r="C83" t="s">
        <v>56</v>
      </c>
      <c r="D83" t="s">
        <v>57</v>
      </c>
      <c r="E83" s="8">
        <v>8700</v>
      </c>
    </row>
  </sheetData>
  <pageMargins left="0.7" right="0.7" top="0.75" bottom="0.75" header="0.3" footer="0.3"/>
  <pageSetup paperSize="9" orientation="portrait" r:id="rId2"/>
  <drawing r:id="rId3"/>
  <tableParts count="1">
    <tablePart r:id="rId4"/>
  </tableParts>
  <extLst>
    <ext xmlns:x14="http://schemas.microsoft.com/office/spreadsheetml/2009/9/main" uri="{A8765BA9-456A-4dab-B4F3-ACF838C121DE}">
      <x14:slicerList>
        <x14:slicer r:id="rId5"/>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15665-5154-4110-AD5F-9E8D0975893F}">
  <dimension ref="A1:P83"/>
  <sheetViews>
    <sheetView showGridLines="0" zoomScaleNormal="100" workbookViewId="0">
      <selection activeCell="H17" sqref="H17"/>
    </sheetView>
  </sheetViews>
  <sheetFormatPr defaultColWidth="9.109375" defaultRowHeight="16.8" x14ac:dyDescent="0.4"/>
  <cols>
    <col min="1" max="1" width="3.44140625" style="4" customWidth="1"/>
    <col min="2" max="2" width="7.33203125" style="4" bestFit="1" customWidth="1"/>
    <col min="3" max="3" width="12.33203125" style="4" bestFit="1" customWidth="1"/>
    <col min="4" max="4" width="15.5546875" style="4" bestFit="1" customWidth="1"/>
    <col min="5" max="5" width="9.109375" style="4" bestFit="1" customWidth="1"/>
    <col min="6" max="6" width="23" style="4" customWidth="1"/>
    <col min="7" max="7" width="12.5546875" style="4" bestFit="1" customWidth="1"/>
    <col min="8" max="8" width="11.6640625" style="4" bestFit="1" customWidth="1"/>
    <col min="9" max="9" width="9.33203125" style="4" bestFit="1" customWidth="1"/>
    <col min="10" max="10" width="10" style="4" bestFit="1" customWidth="1"/>
    <col min="11" max="11" width="9.33203125" style="4" bestFit="1" customWidth="1"/>
    <col min="12" max="15" width="9.33203125" style="4" customWidth="1"/>
    <col min="16" max="16" width="17" style="4" bestFit="1" customWidth="1"/>
    <col min="17" max="18" width="15.88671875" style="4" customWidth="1"/>
    <col min="19" max="16384" width="9.109375" style="4"/>
  </cols>
  <sheetData>
    <row r="1" spans="1:16" s="9" customFormat="1" ht="48.75" customHeight="1" x14ac:dyDescent="0.4">
      <c r="A1" s="7" t="s">
        <v>237</v>
      </c>
      <c r="B1" s="7"/>
      <c r="C1" s="7"/>
      <c r="D1" s="7"/>
      <c r="E1" s="7"/>
      <c r="F1" s="7"/>
      <c r="G1" s="7"/>
      <c r="H1" s="7"/>
      <c r="I1" s="7"/>
      <c r="J1" s="7"/>
      <c r="K1" s="7"/>
      <c r="L1" s="7"/>
      <c r="M1" s="7"/>
      <c r="N1" s="7"/>
      <c r="O1" s="7"/>
      <c r="P1" s="7"/>
    </row>
    <row r="3" spans="1:16" x14ac:dyDescent="0.4">
      <c r="B3" s="4" t="s">
        <v>238</v>
      </c>
    </row>
    <row r="4" spans="1:16" x14ac:dyDescent="0.4">
      <c r="B4" s="4" t="s">
        <v>226</v>
      </c>
    </row>
    <row r="5" spans="1:16" x14ac:dyDescent="0.4">
      <c r="B5" s="4" t="s">
        <v>174</v>
      </c>
    </row>
    <row r="6" spans="1:16" x14ac:dyDescent="0.4">
      <c r="B6" s="4" t="s">
        <v>225</v>
      </c>
    </row>
    <row r="8" spans="1:16" x14ac:dyDescent="0.4">
      <c r="B8" t="s">
        <v>54</v>
      </c>
      <c r="C8" t="s">
        <v>55</v>
      </c>
      <c r="D8" t="s">
        <v>52</v>
      </c>
      <c r="E8" t="s">
        <v>53</v>
      </c>
      <c r="G8" s="36" t="s">
        <v>170</v>
      </c>
      <c r="H8" s="20" t="s">
        <v>172</v>
      </c>
      <c r="I8" s="20" t="s">
        <v>173</v>
      </c>
    </row>
    <row r="9" spans="1:16" x14ac:dyDescent="0.4">
      <c r="B9">
        <v>2022</v>
      </c>
      <c r="C9" t="s">
        <v>56</v>
      </c>
      <c r="D9" t="s">
        <v>57</v>
      </c>
      <c r="E9" s="8">
        <v>20000</v>
      </c>
      <c r="G9" s="30" t="s">
        <v>67</v>
      </c>
      <c r="H9" s="8">
        <v>383800</v>
      </c>
      <c r="I9" s="31">
        <v>0.48077163973443565</v>
      </c>
    </row>
    <row r="10" spans="1:16" x14ac:dyDescent="0.4">
      <c r="B10">
        <v>2020</v>
      </c>
      <c r="C10" t="s">
        <v>58</v>
      </c>
      <c r="D10" t="s">
        <v>59</v>
      </c>
      <c r="E10" s="8">
        <v>3700</v>
      </c>
      <c r="G10" s="30" t="s">
        <v>65</v>
      </c>
      <c r="H10" s="8">
        <v>71200</v>
      </c>
      <c r="I10" s="31">
        <v>8.9189527746461231E-2</v>
      </c>
    </row>
    <row r="11" spans="1:16" x14ac:dyDescent="0.4">
      <c r="B11">
        <v>2022</v>
      </c>
      <c r="C11" t="s">
        <v>58</v>
      </c>
      <c r="D11" t="s">
        <v>60</v>
      </c>
      <c r="E11" s="8">
        <v>4000</v>
      </c>
      <c r="G11" s="30" t="s">
        <v>58</v>
      </c>
      <c r="H11" s="8">
        <v>209400</v>
      </c>
      <c r="I11" s="31">
        <v>0.26230740323186774</v>
      </c>
    </row>
    <row r="12" spans="1:16" x14ac:dyDescent="0.4">
      <c r="B12">
        <v>2020</v>
      </c>
      <c r="C12" t="s">
        <v>58</v>
      </c>
      <c r="D12" t="s">
        <v>61</v>
      </c>
      <c r="E12" s="8">
        <v>13300</v>
      </c>
      <c r="G12" s="30" t="s">
        <v>56</v>
      </c>
      <c r="H12" s="8">
        <v>133900</v>
      </c>
      <c r="I12" s="31">
        <v>0.16773142928723536</v>
      </c>
    </row>
    <row r="13" spans="1:16" x14ac:dyDescent="0.4">
      <c r="B13">
        <v>2022</v>
      </c>
      <c r="C13" t="s">
        <v>58</v>
      </c>
      <c r="D13" t="s">
        <v>62</v>
      </c>
      <c r="E13" s="8">
        <v>36000</v>
      </c>
      <c r="G13" s="30" t="s">
        <v>171</v>
      </c>
      <c r="H13" s="8">
        <v>798300</v>
      </c>
      <c r="I13" s="31">
        <v>1</v>
      </c>
    </row>
    <row r="14" spans="1:16" x14ac:dyDescent="0.4">
      <c r="B14">
        <v>2020</v>
      </c>
      <c r="C14" t="s">
        <v>56</v>
      </c>
      <c r="D14" t="s">
        <v>63</v>
      </c>
      <c r="E14" s="8">
        <v>2300</v>
      </c>
      <c r="G14"/>
      <c r="H14"/>
      <c r="I14"/>
    </row>
    <row r="15" spans="1:16" x14ac:dyDescent="0.4">
      <c r="B15">
        <v>2021</v>
      </c>
      <c r="C15" t="s">
        <v>58</v>
      </c>
      <c r="D15" t="s">
        <v>59</v>
      </c>
      <c r="E15" s="8">
        <v>2300</v>
      </c>
      <c r="G15"/>
      <c r="H15"/>
      <c r="I15"/>
    </row>
    <row r="16" spans="1:16" x14ac:dyDescent="0.4">
      <c r="B16">
        <v>2021</v>
      </c>
      <c r="C16" t="s">
        <v>56</v>
      </c>
      <c r="D16" t="s">
        <v>64</v>
      </c>
      <c r="E16" s="8">
        <v>3400</v>
      </c>
      <c r="G16"/>
      <c r="H16"/>
      <c r="I16"/>
    </row>
    <row r="17" spans="2:9" x14ac:dyDescent="0.4">
      <c r="B17">
        <v>2021</v>
      </c>
      <c r="C17" t="s">
        <v>65</v>
      </c>
      <c r="D17" t="s">
        <v>66</v>
      </c>
      <c r="E17" s="8">
        <v>6300</v>
      </c>
      <c r="G17"/>
      <c r="H17"/>
      <c r="I17"/>
    </row>
    <row r="18" spans="2:9" x14ac:dyDescent="0.4">
      <c r="B18">
        <v>2022</v>
      </c>
      <c r="C18" t="s">
        <v>56</v>
      </c>
      <c r="D18" t="s">
        <v>64</v>
      </c>
      <c r="E18" s="8">
        <v>5400</v>
      </c>
      <c r="G18"/>
      <c r="H18"/>
      <c r="I18"/>
    </row>
    <row r="19" spans="2:9" x14ac:dyDescent="0.4">
      <c r="B19">
        <v>2021</v>
      </c>
      <c r="C19" t="s">
        <v>67</v>
      </c>
      <c r="D19" t="s">
        <v>68</v>
      </c>
      <c r="E19" s="8">
        <v>17000</v>
      </c>
      <c r="G19"/>
      <c r="H19"/>
      <c r="I19"/>
    </row>
    <row r="20" spans="2:9" x14ac:dyDescent="0.4">
      <c r="B20">
        <v>2021</v>
      </c>
      <c r="C20" t="s">
        <v>67</v>
      </c>
      <c r="D20" t="s">
        <v>69</v>
      </c>
      <c r="E20" s="8">
        <v>21600</v>
      </c>
      <c r="G20"/>
      <c r="H20"/>
      <c r="I20"/>
    </row>
    <row r="21" spans="2:9" x14ac:dyDescent="0.4">
      <c r="B21">
        <v>2021</v>
      </c>
      <c r="C21" t="s">
        <v>67</v>
      </c>
      <c r="D21" t="s">
        <v>70</v>
      </c>
      <c r="E21" s="8">
        <v>29800</v>
      </c>
      <c r="G21"/>
      <c r="H21"/>
      <c r="I21"/>
    </row>
    <row r="22" spans="2:9" x14ac:dyDescent="0.4">
      <c r="B22">
        <v>2021</v>
      </c>
      <c r="C22" t="s">
        <v>56</v>
      </c>
      <c r="D22" t="s">
        <v>71</v>
      </c>
      <c r="E22" s="8">
        <v>1000</v>
      </c>
      <c r="G22"/>
      <c r="H22"/>
      <c r="I22"/>
    </row>
    <row r="23" spans="2:9" x14ac:dyDescent="0.4">
      <c r="B23">
        <v>2020</v>
      </c>
      <c r="C23" t="s">
        <v>58</v>
      </c>
      <c r="D23" t="s">
        <v>72</v>
      </c>
      <c r="E23" s="8">
        <v>6700</v>
      </c>
      <c r="G23"/>
      <c r="H23"/>
      <c r="I23"/>
    </row>
    <row r="24" spans="2:9" x14ac:dyDescent="0.4">
      <c r="B24">
        <v>2022</v>
      </c>
      <c r="C24" t="s">
        <v>56</v>
      </c>
      <c r="D24" t="s">
        <v>71</v>
      </c>
      <c r="E24" s="8">
        <v>600</v>
      </c>
      <c r="G24"/>
      <c r="H24"/>
      <c r="I24"/>
    </row>
    <row r="25" spans="2:9" x14ac:dyDescent="0.4">
      <c r="B25">
        <v>2020</v>
      </c>
      <c r="C25" t="s">
        <v>65</v>
      </c>
      <c r="D25" t="s">
        <v>73</v>
      </c>
      <c r="E25" s="8">
        <v>3500</v>
      </c>
      <c r="G25"/>
      <c r="H25"/>
      <c r="I25"/>
    </row>
    <row r="26" spans="2:9" x14ac:dyDescent="0.4">
      <c r="B26">
        <v>2022</v>
      </c>
      <c r="C26" t="s">
        <v>58</v>
      </c>
      <c r="D26" t="s">
        <v>72</v>
      </c>
      <c r="E26" s="8">
        <v>7500</v>
      </c>
    </row>
    <row r="27" spans="2:9" x14ac:dyDescent="0.4">
      <c r="B27">
        <v>2022</v>
      </c>
      <c r="C27" t="s">
        <v>67</v>
      </c>
      <c r="D27" t="s">
        <v>74</v>
      </c>
      <c r="E27" s="8">
        <v>63700</v>
      </c>
    </row>
    <row r="28" spans="2:9" x14ac:dyDescent="0.4">
      <c r="B28">
        <v>2022</v>
      </c>
      <c r="C28" t="s">
        <v>65</v>
      </c>
      <c r="D28" t="s">
        <v>75</v>
      </c>
      <c r="E28" s="8">
        <v>9300</v>
      </c>
    </row>
    <row r="29" spans="2:9" x14ac:dyDescent="0.4">
      <c r="B29">
        <v>2022</v>
      </c>
      <c r="C29" t="s">
        <v>65</v>
      </c>
      <c r="D29" t="s">
        <v>66</v>
      </c>
      <c r="E29" s="8">
        <v>8500</v>
      </c>
    </row>
    <row r="30" spans="2:9" x14ac:dyDescent="0.4">
      <c r="B30">
        <v>2022</v>
      </c>
      <c r="C30" t="s">
        <v>67</v>
      </c>
      <c r="D30" t="s">
        <v>76</v>
      </c>
      <c r="E30" s="8">
        <v>33700</v>
      </c>
    </row>
    <row r="31" spans="2:9" x14ac:dyDescent="0.4">
      <c r="B31">
        <v>2022</v>
      </c>
      <c r="C31" t="s">
        <v>58</v>
      </c>
      <c r="D31" t="s">
        <v>77</v>
      </c>
      <c r="E31" s="8">
        <v>600</v>
      </c>
    </row>
    <row r="32" spans="2:9" x14ac:dyDescent="0.4">
      <c r="B32">
        <v>2020</v>
      </c>
      <c r="C32" t="s">
        <v>65</v>
      </c>
      <c r="D32" t="s">
        <v>66</v>
      </c>
      <c r="E32" s="8">
        <v>3100</v>
      </c>
    </row>
    <row r="33" spans="2:5" x14ac:dyDescent="0.4">
      <c r="B33">
        <v>2022</v>
      </c>
      <c r="C33" t="s">
        <v>67</v>
      </c>
      <c r="D33" t="s">
        <v>78</v>
      </c>
      <c r="E33" s="8">
        <v>30700</v>
      </c>
    </row>
    <row r="34" spans="2:5" x14ac:dyDescent="0.4">
      <c r="B34">
        <v>2021</v>
      </c>
      <c r="C34" t="s">
        <v>67</v>
      </c>
      <c r="D34" t="s">
        <v>78</v>
      </c>
      <c r="E34" s="8">
        <v>16400</v>
      </c>
    </row>
    <row r="35" spans="2:5" x14ac:dyDescent="0.4">
      <c r="B35">
        <v>2021</v>
      </c>
      <c r="C35" t="s">
        <v>67</v>
      </c>
      <c r="D35" t="s">
        <v>76</v>
      </c>
      <c r="E35" s="8">
        <v>22100</v>
      </c>
    </row>
    <row r="36" spans="2:5" x14ac:dyDescent="0.4">
      <c r="B36">
        <v>2022</v>
      </c>
      <c r="C36" t="s">
        <v>67</v>
      </c>
      <c r="D36" t="s">
        <v>68</v>
      </c>
      <c r="E36" s="8">
        <v>34000</v>
      </c>
    </row>
    <row r="37" spans="2:5" x14ac:dyDescent="0.4">
      <c r="B37">
        <v>2020</v>
      </c>
      <c r="C37" t="s">
        <v>67</v>
      </c>
      <c r="D37" t="s">
        <v>78</v>
      </c>
      <c r="E37" s="8">
        <v>700</v>
      </c>
    </row>
    <row r="38" spans="2:5" x14ac:dyDescent="0.4">
      <c r="B38">
        <v>2020</v>
      </c>
      <c r="C38" t="s">
        <v>58</v>
      </c>
      <c r="D38" t="s">
        <v>62</v>
      </c>
      <c r="E38" s="8">
        <v>3300</v>
      </c>
    </row>
    <row r="39" spans="2:5" x14ac:dyDescent="0.4">
      <c r="B39">
        <v>2022</v>
      </c>
      <c r="C39" t="s">
        <v>65</v>
      </c>
      <c r="D39" t="s">
        <v>73</v>
      </c>
      <c r="E39" s="8">
        <v>16900</v>
      </c>
    </row>
    <row r="40" spans="2:5" x14ac:dyDescent="0.4">
      <c r="B40">
        <v>2022</v>
      </c>
      <c r="C40" t="s">
        <v>67</v>
      </c>
      <c r="D40" t="s">
        <v>69</v>
      </c>
      <c r="E40" s="8">
        <v>36700</v>
      </c>
    </row>
    <row r="41" spans="2:5" x14ac:dyDescent="0.4">
      <c r="B41">
        <v>2020</v>
      </c>
      <c r="C41" t="s">
        <v>67</v>
      </c>
      <c r="D41" t="s">
        <v>68</v>
      </c>
      <c r="E41" s="8">
        <v>8300</v>
      </c>
    </row>
    <row r="42" spans="2:5" x14ac:dyDescent="0.4">
      <c r="B42">
        <v>2021</v>
      </c>
      <c r="C42" t="s">
        <v>58</v>
      </c>
      <c r="D42" t="s">
        <v>60</v>
      </c>
      <c r="E42" s="8">
        <v>2900</v>
      </c>
    </row>
    <row r="43" spans="2:5" x14ac:dyDescent="0.4">
      <c r="B43">
        <v>2020</v>
      </c>
      <c r="C43" t="s">
        <v>67</v>
      </c>
      <c r="D43" t="s">
        <v>74</v>
      </c>
      <c r="E43" s="8">
        <v>8700</v>
      </c>
    </row>
    <row r="44" spans="2:5" x14ac:dyDescent="0.4">
      <c r="B44">
        <v>2022</v>
      </c>
      <c r="C44" t="s">
        <v>67</v>
      </c>
      <c r="D44" t="s">
        <v>70</v>
      </c>
      <c r="E44" s="8">
        <v>35000</v>
      </c>
    </row>
    <row r="45" spans="2:5" x14ac:dyDescent="0.4">
      <c r="B45">
        <v>2021</v>
      </c>
      <c r="C45" t="s">
        <v>65</v>
      </c>
      <c r="D45" t="s">
        <v>73</v>
      </c>
      <c r="E45" s="8">
        <v>8300</v>
      </c>
    </row>
    <row r="46" spans="2:5" x14ac:dyDescent="0.4">
      <c r="B46">
        <v>2021</v>
      </c>
      <c r="C46" t="s">
        <v>56</v>
      </c>
      <c r="D46" t="s">
        <v>79</v>
      </c>
      <c r="E46" s="8">
        <v>16700</v>
      </c>
    </row>
    <row r="47" spans="2:5" x14ac:dyDescent="0.4">
      <c r="B47">
        <v>2021</v>
      </c>
      <c r="C47" t="s">
        <v>65</v>
      </c>
      <c r="D47" t="s">
        <v>80</v>
      </c>
      <c r="E47" s="8">
        <v>1800</v>
      </c>
    </row>
    <row r="48" spans="2:5" x14ac:dyDescent="0.4">
      <c r="B48">
        <v>2022</v>
      </c>
      <c r="C48" t="s">
        <v>58</v>
      </c>
      <c r="D48" t="s">
        <v>59</v>
      </c>
      <c r="E48" s="8">
        <v>3700</v>
      </c>
    </row>
    <row r="49" spans="2:5" x14ac:dyDescent="0.4">
      <c r="B49">
        <v>2021</v>
      </c>
      <c r="C49" t="s">
        <v>58</v>
      </c>
      <c r="D49" t="s">
        <v>61</v>
      </c>
      <c r="E49" s="8">
        <v>12000</v>
      </c>
    </row>
    <row r="50" spans="2:5" x14ac:dyDescent="0.4">
      <c r="B50">
        <v>2020</v>
      </c>
      <c r="C50" t="s">
        <v>67</v>
      </c>
      <c r="D50" t="s">
        <v>70</v>
      </c>
      <c r="E50" s="8">
        <v>10000</v>
      </c>
    </row>
    <row r="51" spans="2:5" x14ac:dyDescent="0.4">
      <c r="B51">
        <v>2020</v>
      </c>
      <c r="C51" t="s">
        <v>56</v>
      </c>
      <c r="D51" t="s">
        <v>71</v>
      </c>
      <c r="E51" s="8">
        <v>500</v>
      </c>
    </row>
    <row r="52" spans="2:5" x14ac:dyDescent="0.4">
      <c r="B52">
        <v>2022</v>
      </c>
      <c r="C52" t="s">
        <v>56</v>
      </c>
      <c r="D52" t="s">
        <v>79</v>
      </c>
      <c r="E52" s="8">
        <v>21800</v>
      </c>
    </row>
    <row r="53" spans="2:5" x14ac:dyDescent="0.4">
      <c r="B53">
        <v>2021</v>
      </c>
      <c r="C53" t="s">
        <v>56</v>
      </c>
      <c r="D53" t="s">
        <v>57</v>
      </c>
      <c r="E53" s="8">
        <v>16400</v>
      </c>
    </row>
    <row r="54" spans="2:5" x14ac:dyDescent="0.4">
      <c r="B54">
        <v>2021</v>
      </c>
      <c r="C54" t="s">
        <v>58</v>
      </c>
      <c r="D54" t="s">
        <v>77</v>
      </c>
      <c r="E54" s="8">
        <v>400</v>
      </c>
    </row>
    <row r="55" spans="2:5" x14ac:dyDescent="0.4">
      <c r="B55">
        <v>2020</v>
      </c>
      <c r="C55" t="s">
        <v>58</v>
      </c>
      <c r="D55" t="s">
        <v>81</v>
      </c>
      <c r="E55" s="8">
        <v>3300</v>
      </c>
    </row>
    <row r="56" spans="2:5" x14ac:dyDescent="0.4">
      <c r="B56">
        <v>2022</v>
      </c>
      <c r="C56" t="s">
        <v>56</v>
      </c>
      <c r="D56" t="s">
        <v>63</v>
      </c>
      <c r="E56" s="8">
        <v>5000</v>
      </c>
    </row>
    <row r="57" spans="2:5" x14ac:dyDescent="0.4">
      <c r="B57">
        <v>2021</v>
      </c>
      <c r="C57" t="s">
        <v>56</v>
      </c>
      <c r="D57" t="s">
        <v>63</v>
      </c>
      <c r="E57" s="8">
        <v>3300</v>
      </c>
    </row>
    <row r="58" spans="2:5" x14ac:dyDescent="0.4">
      <c r="B58">
        <v>2020</v>
      </c>
      <c r="C58" t="s">
        <v>56</v>
      </c>
      <c r="D58" t="s">
        <v>82</v>
      </c>
      <c r="E58" s="8">
        <v>800</v>
      </c>
    </row>
    <row r="59" spans="2:5" x14ac:dyDescent="0.4">
      <c r="B59">
        <v>2021</v>
      </c>
      <c r="C59" t="s">
        <v>58</v>
      </c>
      <c r="D59" t="s">
        <v>83</v>
      </c>
      <c r="E59" s="8">
        <v>15600</v>
      </c>
    </row>
    <row r="60" spans="2:5" x14ac:dyDescent="0.4">
      <c r="B60">
        <v>2021</v>
      </c>
      <c r="C60" t="s">
        <v>56</v>
      </c>
      <c r="D60" t="s">
        <v>82</v>
      </c>
      <c r="E60" s="8">
        <v>1500</v>
      </c>
    </row>
    <row r="61" spans="2:5" x14ac:dyDescent="0.4">
      <c r="B61">
        <v>2022</v>
      </c>
      <c r="C61" t="s">
        <v>56</v>
      </c>
      <c r="D61" t="s">
        <v>82</v>
      </c>
      <c r="E61" s="8">
        <v>6200</v>
      </c>
    </row>
    <row r="62" spans="2:5" x14ac:dyDescent="0.4">
      <c r="B62">
        <v>2022</v>
      </c>
      <c r="C62" t="s">
        <v>58</v>
      </c>
      <c r="D62" t="s">
        <v>83</v>
      </c>
      <c r="E62" s="8">
        <v>27000</v>
      </c>
    </row>
    <row r="63" spans="2:5" x14ac:dyDescent="0.4">
      <c r="B63">
        <v>2021</v>
      </c>
      <c r="C63" t="s">
        <v>56</v>
      </c>
      <c r="D63" t="s">
        <v>84</v>
      </c>
      <c r="E63" s="8">
        <v>2800</v>
      </c>
    </row>
    <row r="64" spans="2:5" x14ac:dyDescent="0.4">
      <c r="B64">
        <v>2021</v>
      </c>
      <c r="C64" t="s">
        <v>65</v>
      </c>
      <c r="D64" t="s">
        <v>75</v>
      </c>
      <c r="E64" s="8">
        <v>6700</v>
      </c>
    </row>
    <row r="65" spans="2:5" x14ac:dyDescent="0.4">
      <c r="B65">
        <v>2020</v>
      </c>
      <c r="C65" t="s">
        <v>58</v>
      </c>
      <c r="D65" t="s">
        <v>83</v>
      </c>
      <c r="E65" s="8">
        <v>13300</v>
      </c>
    </row>
    <row r="66" spans="2:5" x14ac:dyDescent="0.4">
      <c r="B66">
        <v>2021</v>
      </c>
      <c r="C66" t="s">
        <v>67</v>
      </c>
      <c r="D66" t="s">
        <v>74</v>
      </c>
      <c r="E66" s="8">
        <v>13800</v>
      </c>
    </row>
    <row r="67" spans="2:5" x14ac:dyDescent="0.4">
      <c r="B67">
        <v>2022</v>
      </c>
      <c r="C67" t="s">
        <v>58</v>
      </c>
      <c r="D67" t="s">
        <v>81</v>
      </c>
      <c r="E67" s="8">
        <v>2400</v>
      </c>
    </row>
    <row r="68" spans="2:5" x14ac:dyDescent="0.4">
      <c r="B68">
        <v>2020</v>
      </c>
      <c r="C68" t="s">
        <v>67</v>
      </c>
      <c r="D68" t="s">
        <v>76</v>
      </c>
      <c r="E68" s="8">
        <v>300</v>
      </c>
    </row>
    <row r="69" spans="2:5" x14ac:dyDescent="0.4">
      <c r="B69">
        <v>2020</v>
      </c>
      <c r="C69" t="s">
        <v>56</v>
      </c>
      <c r="D69" t="s">
        <v>84</v>
      </c>
      <c r="E69" s="8">
        <v>2100</v>
      </c>
    </row>
    <row r="70" spans="2:5" x14ac:dyDescent="0.4">
      <c r="B70">
        <v>2020</v>
      </c>
      <c r="C70" t="s">
        <v>56</v>
      </c>
      <c r="D70" t="s">
        <v>64</v>
      </c>
      <c r="E70" s="8">
        <v>2300</v>
      </c>
    </row>
    <row r="71" spans="2:5" x14ac:dyDescent="0.4">
      <c r="B71">
        <v>2020</v>
      </c>
      <c r="C71" t="s">
        <v>56</v>
      </c>
      <c r="D71" t="s">
        <v>79</v>
      </c>
      <c r="E71" s="8">
        <v>10000</v>
      </c>
    </row>
    <row r="72" spans="2:5" x14ac:dyDescent="0.4">
      <c r="B72">
        <v>2020</v>
      </c>
      <c r="C72" t="s">
        <v>65</v>
      </c>
      <c r="D72" t="s">
        <v>80</v>
      </c>
      <c r="E72" s="8">
        <v>500</v>
      </c>
    </row>
    <row r="73" spans="2:5" x14ac:dyDescent="0.4">
      <c r="B73">
        <v>2021</v>
      </c>
      <c r="C73" t="s">
        <v>58</v>
      </c>
      <c r="D73" t="s">
        <v>72</v>
      </c>
      <c r="E73" s="8">
        <v>3800</v>
      </c>
    </row>
    <row r="74" spans="2:5" x14ac:dyDescent="0.4">
      <c r="B74">
        <v>2020</v>
      </c>
      <c r="C74" t="s">
        <v>65</v>
      </c>
      <c r="D74" t="s">
        <v>75</v>
      </c>
      <c r="E74" s="8">
        <v>3200</v>
      </c>
    </row>
    <row r="75" spans="2:5" x14ac:dyDescent="0.4">
      <c r="B75">
        <v>2022</v>
      </c>
      <c r="C75" t="s">
        <v>58</v>
      </c>
      <c r="D75" t="s">
        <v>61</v>
      </c>
      <c r="E75" s="8">
        <v>23000</v>
      </c>
    </row>
    <row r="76" spans="2:5" x14ac:dyDescent="0.4">
      <c r="B76">
        <v>2020</v>
      </c>
      <c r="C76" t="s">
        <v>58</v>
      </c>
      <c r="D76" t="s">
        <v>60</v>
      </c>
      <c r="E76" s="8">
        <v>700</v>
      </c>
    </row>
    <row r="77" spans="2:5" x14ac:dyDescent="0.4">
      <c r="B77">
        <v>2020</v>
      </c>
      <c r="C77" t="s">
        <v>67</v>
      </c>
      <c r="D77" t="s">
        <v>69</v>
      </c>
      <c r="E77" s="8">
        <v>1300</v>
      </c>
    </row>
    <row r="78" spans="2:5" x14ac:dyDescent="0.4">
      <c r="B78">
        <v>2021</v>
      </c>
      <c r="C78" t="s">
        <v>58</v>
      </c>
      <c r="D78" t="s">
        <v>81</v>
      </c>
      <c r="E78" s="8">
        <v>1300</v>
      </c>
    </row>
    <row r="79" spans="2:5" x14ac:dyDescent="0.4">
      <c r="B79">
        <v>2021</v>
      </c>
      <c r="C79" t="s">
        <v>58</v>
      </c>
      <c r="D79" t="s">
        <v>62</v>
      </c>
      <c r="E79" s="8">
        <v>22100</v>
      </c>
    </row>
    <row r="80" spans="2:5" x14ac:dyDescent="0.4">
      <c r="B80">
        <v>2022</v>
      </c>
      <c r="C80" t="s">
        <v>56</v>
      </c>
      <c r="D80" t="s">
        <v>84</v>
      </c>
      <c r="E80" s="8">
        <v>3100</v>
      </c>
    </row>
    <row r="81" spans="2:5" x14ac:dyDescent="0.4">
      <c r="B81">
        <v>2020</v>
      </c>
      <c r="C81" t="s">
        <v>58</v>
      </c>
      <c r="D81" t="s">
        <v>77</v>
      </c>
      <c r="E81" s="8">
        <v>500</v>
      </c>
    </row>
    <row r="82" spans="2:5" x14ac:dyDescent="0.4">
      <c r="B82">
        <v>2022</v>
      </c>
      <c r="C82" t="s">
        <v>65</v>
      </c>
      <c r="D82" t="s">
        <v>80</v>
      </c>
      <c r="E82" s="8">
        <v>3100</v>
      </c>
    </row>
    <row r="83" spans="2:5" x14ac:dyDescent="0.4">
      <c r="B83">
        <v>2020</v>
      </c>
      <c r="C83" t="s">
        <v>56</v>
      </c>
      <c r="D83" t="s">
        <v>57</v>
      </c>
      <c r="E83" s="8">
        <v>8700</v>
      </c>
    </row>
  </sheetData>
  <pageMargins left="0.7" right="0.7" top="0.75" bottom="0.75" header="0.3" footer="0.3"/>
  <pageSetup paperSize="9" orientation="portrait" r:id="rId2"/>
  <drawing r:id="rId3"/>
  <tableParts count="1">
    <tablePart r:id="rId4"/>
  </tableParts>
  <extLst>
    <ext xmlns:x14="http://schemas.microsoft.com/office/spreadsheetml/2009/9/main" uri="{A8765BA9-456A-4dab-B4F3-ACF838C121DE}">
      <x14:slicerList>
        <x14:slicer r:id="rId5"/>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88CBD-13A2-4C3C-B1E8-44BE0ECBFAA2}">
  <dimension ref="A1:O17"/>
  <sheetViews>
    <sheetView showGridLines="0" workbookViewId="0">
      <selection activeCell="F18" sqref="F18"/>
    </sheetView>
  </sheetViews>
  <sheetFormatPr defaultColWidth="9.109375" defaultRowHeight="16.8" x14ac:dyDescent="0.4"/>
  <cols>
    <col min="1" max="1" width="3.44140625" style="4" customWidth="1"/>
    <col min="2" max="3" width="17.88671875" style="4" customWidth="1"/>
    <col min="4" max="4" width="4.77734375" style="4" bestFit="1" customWidth="1"/>
    <col min="5" max="5" width="28.6640625" style="4" bestFit="1" customWidth="1"/>
    <col min="6" max="6" width="24.6640625" style="4" bestFit="1" customWidth="1"/>
    <col min="7" max="7" width="10" style="4" bestFit="1" customWidth="1"/>
    <col min="8" max="8" width="11.88671875" style="4" bestFit="1" customWidth="1"/>
    <col min="9" max="9" width="10" style="4" bestFit="1" customWidth="1"/>
    <col min="10" max="10" width="9.33203125" style="4" bestFit="1" customWidth="1"/>
    <col min="11" max="14" width="9.33203125" style="4" customWidth="1"/>
    <col min="15" max="15" width="17" style="4" bestFit="1" customWidth="1"/>
    <col min="16" max="17" width="15.88671875" style="4" customWidth="1"/>
    <col min="18" max="16384" width="9.109375" style="4"/>
  </cols>
  <sheetData>
    <row r="1" spans="1:15" s="9" customFormat="1" ht="48.75" customHeight="1" x14ac:dyDescent="0.4">
      <c r="A1" s="7" t="s">
        <v>121</v>
      </c>
      <c r="B1" s="7"/>
      <c r="C1" s="7"/>
      <c r="D1" s="7"/>
      <c r="E1" s="7"/>
      <c r="F1" s="7"/>
      <c r="G1" s="7"/>
      <c r="H1" s="7"/>
      <c r="I1" s="7"/>
      <c r="J1" s="7"/>
      <c r="K1" s="7"/>
      <c r="L1" s="7"/>
      <c r="M1" s="7"/>
      <c r="N1" s="7"/>
      <c r="O1" s="7"/>
    </row>
    <row r="3" spans="1:15" x14ac:dyDescent="0.4">
      <c r="B3" s="4" t="s">
        <v>228</v>
      </c>
    </row>
    <row r="4" spans="1:15" x14ac:dyDescent="0.4">
      <c r="B4" s="4" t="s">
        <v>229</v>
      </c>
    </row>
    <row r="5" spans="1:15" x14ac:dyDescent="0.4">
      <c r="B5" s="4" t="str">
        <f ca="1">_xlfn.IFNA(_xlfn.FORMULATEXT(E10),"")</f>
        <v>=LOWER(B10&amp;"."&amp;C10&amp;"@example.com")</v>
      </c>
    </row>
    <row r="7" spans="1:15" x14ac:dyDescent="0.4">
      <c r="B7" s="10" t="s">
        <v>201</v>
      </c>
      <c r="C7" s="10" t="s">
        <v>221</v>
      </c>
      <c r="D7" s="10" t="s">
        <v>99</v>
      </c>
      <c r="E7" s="10" t="s">
        <v>100</v>
      </c>
      <c r="G7"/>
    </row>
    <row r="8" spans="1:15" x14ac:dyDescent="0.4">
      <c r="B8" s="4" t="s">
        <v>211</v>
      </c>
      <c r="C8" s="4" t="s">
        <v>202</v>
      </c>
      <c r="D8" s="4">
        <v>28</v>
      </c>
      <c r="E8" s="4" t="s">
        <v>102</v>
      </c>
      <c r="G8"/>
    </row>
    <row r="9" spans="1:15" x14ac:dyDescent="0.4">
      <c r="B9" s="4" t="s">
        <v>212</v>
      </c>
      <c r="C9" s="4" t="s">
        <v>203</v>
      </c>
      <c r="D9" s="4">
        <v>34</v>
      </c>
      <c r="E9" s="4" t="s">
        <v>104</v>
      </c>
      <c r="G9"/>
    </row>
    <row r="10" spans="1:15" x14ac:dyDescent="0.4">
      <c r="B10" s="4" t="s">
        <v>213</v>
      </c>
      <c r="C10" s="4" t="s">
        <v>204</v>
      </c>
      <c r="D10" s="4">
        <v>45</v>
      </c>
      <c r="E10" s="33" t="str">
        <f>LOWER(B10&amp;"."&amp;C10&amp;"@example.com")</f>
        <v>alice.johnson@example.com</v>
      </c>
      <c r="G10"/>
    </row>
    <row r="11" spans="1:15" x14ac:dyDescent="0.4">
      <c r="B11" s="4" t="s">
        <v>214</v>
      </c>
      <c r="C11" s="4" t="s">
        <v>205</v>
      </c>
      <c r="E11" s="4" t="s">
        <v>107</v>
      </c>
      <c r="G11"/>
    </row>
    <row r="12" spans="1:15" x14ac:dyDescent="0.4">
      <c r="B12" s="4" t="s">
        <v>215</v>
      </c>
      <c r="C12" s="4" t="s">
        <v>206</v>
      </c>
      <c r="E12" s="4" t="s">
        <v>109</v>
      </c>
      <c r="G12"/>
    </row>
    <row r="13" spans="1:15" x14ac:dyDescent="0.4">
      <c r="B13" s="4" t="s">
        <v>216</v>
      </c>
      <c r="C13" s="4" t="s">
        <v>207</v>
      </c>
      <c r="D13" s="4">
        <v>30</v>
      </c>
      <c r="E13" s="33" t="str">
        <f>LOWER(B13&amp;"."&amp;C13&amp;"@example.com")</f>
        <v>chris.lee@example.com</v>
      </c>
      <c r="G13"/>
    </row>
    <row r="14" spans="1:15" x14ac:dyDescent="0.4">
      <c r="B14" s="4" t="s">
        <v>217</v>
      </c>
      <c r="C14" s="4" t="s">
        <v>208</v>
      </c>
      <c r="E14" s="4" t="s">
        <v>111</v>
      </c>
      <c r="G14"/>
    </row>
    <row r="15" spans="1:15" x14ac:dyDescent="0.4">
      <c r="B15" s="4" t="s">
        <v>218</v>
      </c>
      <c r="C15" s="4" t="s">
        <v>209</v>
      </c>
      <c r="D15" s="4">
        <v>32</v>
      </c>
      <c r="E15" s="33" t="str">
        <f t="shared" ref="E15:E16" si="0">LOWER(B15&amp;"."&amp;C15&amp;"@example.com")</f>
        <v>liam.davis@example.com</v>
      </c>
      <c r="G15"/>
    </row>
    <row r="16" spans="1:15" x14ac:dyDescent="0.4">
      <c r="B16" s="4" t="s">
        <v>219</v>
      </c>
      <c r="C16" s="4" t="s">
        <v>205</v>
      </c>
      <c r="E16" s="33" t="str">
        <f t="shared" si="0"/>
        <v>sophia.brown@example.com</v>
      </c>
      <c r="G16"/>
    </row>
    <row r="17" spans="2:7" x14ac:dyDescent="0.4">
      <c r="B17" s="4" t="s">
        <v>220</v>
      </c>
      <c r="C17" s="4" t="s">
        <v>210</v>
      </c>
      <c r="D17" s="4">
        <v>29</v>
      </c>
      <c r="E17" s="4" t="s">
        <v>222</v>
      </c>
      <c r="G17"/>
    </row>
  </sheetData>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E7B3C-F787-41BF-9654-D91689643309}">
  <dimension ref="A1:O17"/>
  <sheetViews>
    <sheetView showGridLines="0" workbookViewId="0">
      <selection activeCell="E22" sqref="E22"/>
    </sheetView>
  </sheetViews>
  <sheetFormatPr defaultColWidth="9.109375" defaultRowHeight="16.8" x14ac:dyDescent="0.4"/>
  <cols>
    <col min="1" max="1" width="3.44140625" style="4" customWidth="1"/>
    <col min="2" max="3" width="17.88671875" style="4" customWidth="1"/>
    <col min="4" max="4" width="5.33203125" style="4" bestFit="1" customWidth="1"/>
    <col min="5" max="5" width="28.6640625" style="4" bestFit="1" customWidth="1"/>
    <col min="6" max="6" width="24.6640625" style="4" bestFit="1" customWidth="1"/>
    <col min="7" max="7" width="10" style="4" bestFit="1" customWidth="1"/>
    <col min="8" max="8" width="11.88671875" style="4" bestFit="1" customWidth="1"/>
    <col min="9" max="9" width="10" style="4" bestFit="1" customWidth="1"/>
    <col min="10" max="10" width="9.33203125" style="4" bestFit="1" customWidth="1"/>
    <col min="11" max="14" width="9.33203125" style="4" customWidth="1"/>
    <col min="15" max="15" width="17" style="4" bestFit="1" customWidth="1"/>
    <col min="16" max="17" width="15.88671875" style="4" customWidth="1"/>
    <col min="18" max="16384" width="9.109375" style="4"/>
  </cols>
  <sheetData>
    <row r="1" spans="1:15" s="9" customFormat="1" ht="48.75" customHeight="1" x14ac:dyDescent="0.4">
      <c r="A1" s="7" t="s">
        <v>240</v>
      </c>
      <c r="B1" s="7"/>
      <c r="C1" s="7"/>
      <c r="D1" s="7"/>
      <c r="E1" s="7"/>
      <c r="F1" s="7"/>
      <c r="G1" s="7"/>
      <c r="H1" s="7"/>
      <c r="I1" s="7"/>
      <c r="J1" s="7"/>
      <c r="K1" s="7"/>
      <c r="L1" s="7"/>
      <c r="M1" s="7"/>
      <c r="N1" s="7"/>
      <c r="O1" s="7"/>
    </row>
    <row r="3" spans="1:15" x14ac:dyDescent="0.4">
      <c r="B3" s="4" t="s">
        <v>228</v>
      </c>
    </row>
    <row r="4" spans="1:15" x14ac:dyDescent="0.4">
      <c r="B4" s="4" t="s">
        <v>229</v>
      </c>
    </row>
    <row r="5" spans="1:15" x14ac:dyDescent="0.4">
      <c r="B5" s="4" t="str">
        <f ca="1">_xlfn.IFNA(_xlfn.FORMULATEXT(E10),"")</f>
        <v>=LOWER(B10&amp;"."&amp;C10&amp;"@example.com")</v>
      </c>
    </row>
    <row r="7" spans="1:15" x14ac:dyDescent="0.4">
      <c r="B7" s="10" t="s">
        <v>201</v>
      </c>
      <c r="C7" s="10" t="s">
        <v>221</v>
      </c>
      <c r="D7" s="10" t="s">
        <v>99</v>
      </c>
      <c r="E7" s="10" t="s">
        <v>100</v>
      </c>
      <c r="G7"/>
    </row>
    <row r="8" spans="1:15" x14ac:dyDescent="0.4">
      <c r="B8" s="4" t="s">
        <v>211</v>
      </c>
      <c r="C8" s="4" t="s">
        <v>202</v>
      </c>
      <c r="D8" s="4">
        <v>28</v>
      </c>
      <c r="E8" s="4" t="s">
        <v>102</v>
      </c>
      <c r="G8"/>
    </row>
    <row r="9" spans="1:15" x14ac:dyDescent="0.4">
      <c r="B9" s="4" t="s">
        <v>212</v>
      </c>
      <c r="C9" s="4" t="s">
        <v>203</v>
      </c>
      <c r="D9" s="4">
        <v>34</v>
      </c>
      <c r="E9" s="4" t="s">
        <v>104</v>
      </c>
      <c r="G9"/>
    </row>
    <row r="10" spans="1:15" x14ac:dyDescent="0.4">
      <c r="B10" s="4" t="s">
        <v>213</v>
      </c>
      <c r="C10" s="4" t="s">
        <v>204</v>
      </c>
      <c r="D10" s="4">
        <v>45</v>
      </c>
      <c r="E10" s="33" t="str">
        <f>LOWER(B10&amp;"."&amp;C10&amp;"@example.com")</f>
        <v>alice.johnson@example.com</v>
      </c>
      <c r="G10"/>
    </row>
    <row r="11" spans="1:15" x14ac:dyDescent="0.4">
      <c r="B11" s="4" t="s">
        <v>214</v>
      </c>
      <c r="C11" s="4" t="s">
        <v>205</v>
      </c>
      <c r="E11" s="4" t="s">
        <v>107</v>
      </c>
      <c r="G11"/>
    </row>
    <row r="12" spans="1:15" x14ac:dyDescent="0.4">
      <c r="B12" s="4" t="s">
        <v>215</v>
      </c>
      <c r="C12" s="4" t="s">
        <v>206</v>
      </c>
      <c r="E12" s="4" t="s">
        <v>109</v>
      </c>
      <c r="G12"/>
    </row>
    <row r="13" spans="1:15" x14ac:dyDescent="0.4">
      <c r="B13" s="4" t="s">
        <v>216</v>
      </c>
      <c r="C13" s="4" t="s">
        <v>207</v>
      </c>
      <c r="D13" s="4">
        <v>30</v>
      </c>
      <c r="E13" s="33" t="str">
        <f>LOWER(B13&amp;"."&amp;C13&amp;"@example.com")</f>
        <v>chris.lee@example.com</v>
      </c>
      <c r="G13"/>
    </row>
    <row r="14" spans="1:15" x14ac:dyDescent="0.4">
      <c r="B14" s="4" t="s">
        <v>217</v>
      </c>
      <c r="C14" s="4" t="s">
        <v>208</v>
      </c>
      <c r="E14" s="4" t="s">
        <v>111</v>
      </c>
      <c r="G14"/>
    </row>
    <row r="15" spans="1:15" x14ac:dyDescent="0.4">
      <c r="B15" s="4" t="s">
        <v>218</v>
      </c>
      <c r="C15" s="4" t="s">
        <v>209</v>
      </c>
      <c r="D15" s="4">
        <v>32</v>
      </c>
      <c r="E15" s="33" t="str">
        <f t="shared" ref="E15:E16" si="0">LOWER(B15&amp;"."&amp;C15&amp;"@example.com")</f>
        <v>liam.davis@example.com</v>
      </c>
      <c r="G15"/>
    </row>
    <row r="16" spans="1:15" x14ac:dyDescent="0.4">
      <c r="B16" s="4" t="s">
        <v>219</v>
      </c>
      <c r="C16" s="4" t="s">
        <v>205</v>
      </c>
      <c r="E16" s="33" t="str">
        <f t="shared" si="0"/>
        <v>sophia.brown@example.com</v>
      </c>
      <c r="G16"/>
    </row>
    <row r="17" spans="2:7" x14ac:dyDescent="0.4">
      <c r="B17" s="4" t="s">
        <v>220</v>
      </c>
      <c r="C17" s="4" t="s">
        <v>210</v>
      </c>
      <c r="D17" s="4">
        <v>29</v>
      </c>
      <c r="E17" s="4" t="s">
        <v>222</v>
      </c>
      <c r="G17"/>
    </row>
  </sheetData>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E42A1-7077-4141-A64B-9864A743893A}">
  <dimension ref="A1:P30"/>
  <sheetViews>
    <sheetView showGridLines="0" zoomScaleNormal="100" workbookViewId="0">
      <selection activeCell="F7" sqref="F7"/>
    </sheetView>
  </sheetViews>
  <sheetFormatPr defaultColWidth="9.109375" defaultRowHeight="16.8" x14ac:dyDescent="0.4"/>
  <cols>
    <col min="1" max="1" width="3.44140625" style="4" customWidth="1"/>
    <col min="2" max="2" width="14.33203125" style="4" bestFit="1" customWidth="1"/>
    <col min="3" max="3" width="18.109375" style="4" bestFit="1" customWidth="1"/>
    <col min="4" max="4" width="8.44140625" style="4" bestFit="1" customWidth="1"/>
    <col min="5" max="5" width="9" style="4" bestFit="1" customWidth="1"/>
    <col min="6" max="6" width="25" style="4" bestFit="1" customWidth="1"/>
    <col min="7" max="7" width="27.109375" style="4" bestFit="1" customWidth="1"/>
    <col min="8" max="8" width="10" style="4" bestFit="1" customWidth="1"/>
    <col min="9" max="9" width="11.88671875" style="4" bestFit="1" customWidth="1"/>
    <col min="10" max="10" width="14.33203125" style="4" bestFit="1" customWidth="1"/>
    <col min="11" max="11" width="18.109375" style="4" bestFit="1" customWidth="1"/>
    <col min="12" max="12" width="8.44140625" style="4" bestFit="1" customWidth="1"/>
    <col min="13" max="13" width="9" style="4" bestFit="1" customWidth="1"/>
    <col min="14" max="14" width="25" style="4" bestFit="1" customWidth="1"/>
    <col min="15" max="15" width="9.33203125" style="4" customWidth="1"/>
    <col min="16" max="16" width="17" style="4" bestFit="1" customWidth="1"/>
    <col min="17" max="18" width="15.88671875" style="4" customWidth="1"/>
    <col min="19" max="16384" width="9.109375" style="4"/>
  </cols>
  <sheetData>
    <row r="1" spans="1:16" s="9" customFormat="1" ht="48.75" customHeight="1" x14ac:dyDescent="0.4">
      <c r="A1" s="7" t="s">
        <v>198</v>
      </c>
      <c r="B1" s="7"/>
      <c r="C1" s="7"/>
      <c r="D1" s="7"/>
      <c r="E1" s="7"/>
      <c r="F1" s="7"/>
      <c r="G1" s="7"/>
      <c r="H1" s="7"/>
      <c r="I1" s="7"/>
      <c r="J1" s="7"/>
      <c r="K1" s="7"/>
      <c r="L1" s="7"/>
      <c r="M1" s="7"/>
      <c r="N1" s="7"/>
      <c r="O1" s="7"/>
      <c r="P1" s="7"/>
    </row>
    <row r="3" spans="1:16" x14ac:dyDescent="0.4">
      <c r="B3" s="4" t="s">
        <v>230</v>
      </c>
    </row>
    <row r="4" spans="1:16" x14ac:dyDescent="0.4">
      <c r="B4" s="4" t="s">
        <v>231</v>
      </c>
    </row>
    <row r="5" spans="1:16" x14ac:dyDescent="0.4">
      <c r="B5"/>
      <c r="C5"/>
      <c r="D5"/>
      <c r="E5"/>
      <c r="F5"/>
      <c r="G5"/>
      <c r="H5"/>
    </row>
    <row r="6" spans="1:16" x14ac:dyDescent="0.4">
      <c r="B6" s="4" t="s">
        <v>142</v>
      </c>
      <c r="C6" s="4" t="s">
        <v>143</v>
      </c>
      <c r="D6" s="4" t="s">
        <v>146</v>
      </c>
      <c r="E6" s="4" t="s">
        <v>185</v>
      </c>
      <c r="F6" s="4" t="s">
        <v>199</v>
      </c>
    </row>
    <row r="7" spans="1:16" x14ac:dyDescent="0.4">
      <c r="B7" s="11">
        <v>101</v>
      </c>
      <c r="C7" s="4" t="s">
        <v>147</v>
      </c>
      <c r="D7" s="4">
        <v>1200</v>
      </c>
      <c r="E7" s="4">
        <v>50</v>
      </c>
      <c r="F7" s="4" t="str">
        <f>_xlfn.TEXTJOIN(",",TRUE,Table6[[#This Row],[Product ID]:[Stock]])</f>
        <v>101,Laptop,1200,50</v>
      </c>
    </row>
    <row r="8" spans="1:16" x14ac:dyDescent="0.4">
      <c r="B8" s="11">
        <v>102</v>
      </c>
      <c r="C8" s="4" t="s">
        <v>150</v>
      </c>
      <c r="D8" s="4">
        <v>800</v>
      </c>
      <c r="E8" s="4">
        <v>30</v>
      </c>
      <c r="F8" s="4" t="str">
        <f>_xlfn.TEXTJOIN(",",TRUE,Table6[[#This Row],[Product ID]:[Stock]])</f>
        <v>102,Smartphone,800,30</v>
      </c>
    </row>
    <row r="9" spans="1:16" hidden="1" x14ac:dyDescent="0.4">
      <c r="B9" s="11">
        <v>103</v>
      </c>
      <c r="C9" s="4" t="s">
        <v>153</v>
      </c>
      <c r="D9" s="4">
        <v>600</v>
      </c>
      <c r="E9" s="4">
        <v>40</v>
      </c>
      <c r="F9" s="4" t="str">
        <f>_xlfn.TEXTJOIN(",",TRUE,Table6[[#This Row],[Product ID]:[Stock]])</f>
        <v>103,Tablet,600,40</v>
      </c>
    </row>
    <row r="10" spans="1:16" hidden="1" x14ac:dyDescent="0.4">
      <c r="B10" s="11">
        <v>104</v>
      </c>
      <c r="C10" s="4" t="s">
        <v>156</v>
      </c>
      <c r="D10" s="4">
        <v>150</v>
      </c>
      <c r="E10" s="4">
        <v>100</v>
      </c>
      <c r="F10" s="4" t="str">
        <f>_xlfn.TEXTJOIN(",",TRUE,Table6[[#This Row],[Product ID]:[Stock]])</f>
        <v>104,Headphones,150,100</v>
      </c>
    </row>
    <row r="11" spans="1:16" hidden="1" x14ac:dyDescent="0.4">
      <c r="B11" s="11">
        <v>105</v>
      </c>
      <c r="C11" s="4" t="s">
        <v>158</v>
      </c>
      <c r="D11" s="4">
        <v>250</v>
      </c>
      <c r="E11" s="4">
        <v>60</v>
      </c>
      <c r="F11" s="4" t="str">
        <f>_xlfn.TEXTJOIN(",",TRUE,Table6[[#This Row],[Product ID]:[Stock]])</f>
        <v>105,Smartwatch,250,60</v>
      </c>
    </row>
    <row r="12" spans="1:16" hidden="1" x14ac:dyDescent="0.4">
      <c r="B12" s="11">
        <v>106</v>
      </c>
      <c r="C12" s="4" t="s">
        <v>186</v>
      </c>
      <c r="D12" s="4">
        <v>300</v>
      </c>
      <c r="E12" s="4">
        <v>80</v>
      </c>
      <c r="F12" s="4" t="str">
        <f>_xlfn.TEXTJOIN(",",TRUE,Table6[[#This Row],[Product ID]:[Stock]])</f>
        <v>106,Monitor,300,80</v>
      </c>
    </row>
    <row r="13" spans="1:16" hidden="1" x14ac:dyDescent="0.4">
      <c r="B13" s="11">
        <v>107</v>
      </c>
      <c r="C13" s="4" t="s">
        <v>187</v>
      </c>
      <c r="D13" s="4">
        <v>50</v>
      </c>
      <c r="E13" s="4">
        <v>120</v>
      </c>
      <c r="F13" s="4" t="str">
        <f>_xlfn.TEXTJOIN(",",TRUE,Table6[[#This Row],[Product ID]:[Stock]])</f>
        <v>107,Keyboard,50,120</v>
      </c>
    </row>
    <row r="14" spans="1:16" x14ac:dyDescent="0.4">
      <c r="B14" s="11">
        <v>108</v>
      </c>
      <c r="C14" s="4" t="s">
        <v>188</v>
      </c>
      <c r="D14" s="4">
        <v>30</v>
      </c>
      <c r="E14" s="4">
        <v>150</v>
      </c>
      <c r="F14" s="4" t="str">
        <f>_xlfn.TEXTJOIN(",",TRUE,Table6[[#This Row],[Product ID]:[Stock]])</f>
        <v>108,Mouse,30,150</v>
      </c>
    </row>
    <row r="15" spans="1:16" hidden="1" x14ac:dyDescent="0.4">
      <c r="B15" s="11">
        <v>109</v>
      </c>
      <c r="C15" s="4" t="s">
        <v>189</v>
      </c>
      <c r="D15" s="4">
        <v>200</v>
      </c>
      <c r="E15" s="4">
        <v>70</v>
      </c>
      <c r="F15" s="4" t="str">
        <f>_xlfn.TEXTJOIN(",",TRUE,Table6[[#This Row],[Product ID]:[Stock]])</f>
        <v>109,Printer,200,70</v>
      </c>
    </row>
    <row r="16" spans="1:16" hidden="1" x14ac:dyDescent="0.4">
      <c r="B16" s="11">
        <v>110</v>
      </c>
      <c r="C16" s="4" t="s">
        <v>190</v>
      </c>
      <c r="D16" s="4">
        <v>100</v>
      </c>
      <c r="E16" s="4">
        <v>30</v>
      </c>
      <c r="F16" s="4" t="str">
        <f>_xlfn.TEXTJOIN(",",TRUE,Table6[[#This Row],[Product ID]:[Stock]])</f>
        <v>110,Scanner,100,30</v>
      </c>
    </row>
    <row r="17" spans="2:8" x14ac:dyDescent="0.4">
      <c r="B17" s="11">
        <v>101</v>
      </c>
      <c r="C17" s="4" t="s">
        <v>147</v>
      </c>
      <c r="D17" s="4">
        <v>1200</v>
      </c>
      <c r="E17" s="4">
        <v>50</v>
      </c>
      <c r="F17" s="4" t="str">
        <f>_xlfn.TEXTJOIN(",",TRUE,Table6[[#This Row],[Product ID]:[Stock]])</f>
        <v>101,Laptop,1200,50</v>
      </c>
    </row>
    <row r="18" spans="2:8" hidden="1" x14ac:dyDescent="0.4">
      <c r="B18" s="11">
        <v>111</v>
      </c>
      <c r="C18" s="4" t="s">
        <v>191</v>
      </c>
      <c r="D18" s="4">
        <v>70</v>
      </c>
      <c r="E18" s="4">
        <v>40</v>
      </c>
      <c r="F18" s="4" t="str">
        <f>_xlfn.TEXTJOIN(",",TRUE,Table6[[#This Row],[Product ID]:[Stock]])</f>
        <v>111,Speaker,70,40</v>
      </c>
    </row>
    <row r="19" spans="2:8" x14ac:dyDescent="0.4">
      <c r="B19" s="11">
        <v>102</v>
      </c>
      <c r="C19" s="4" t="s">
        <v>150</v>
      </c>
      <c r="D19" s="4">
        <v>800</v>
      </c>
      <c r="E19" s="4">
        <v>30</v>
      </c>
      <c r="F19" s="4" t="str">
        <f>_xlfn.TEXTJOIN(",",TRUE,Table6[[#This Row],[Product ID]:[Stock]])</f>
        <v>102,Smartphone,800,30</v>
      </c>
    </row>
    <row r="20" spans="2:8" hidden="1" x14ac:dyDescent="0.4">
      <c r="B20" s="11">
        <v>112</v>
      </c>
      <c r="C20" s="4" t="s">
        <v>192</v>
      </c>
      <c r="D20" s="4">
        <v>500</v>
      </c>
      <c r="E20" s="4">
        <v>20</v>
      </c>
      <c r="F20" s="4" t="str">
        <f>_xlfn.TEXTJOIN(",",TRUE,Table6[[#This Row],[Product ID]:[Stock]])</f>
        <v>112,Camera,500,20</v>
      </c>
    </row>
    <row r="21" spans="2:8" hidden="1" x14ac:dyDescent="0.4">
      <c r="B21" s="11">
        <v>113</v>
      </c>
      <c r="C21" s="4" t="s">
        <v>193</v>
      </c>
      <c r="D21" s="4">
        <v>120</v>
      </c>
      <c r="E21" s="4">
        <v>90</v>
      </c>
      <c r="F21" s="4" t="str">
        <f>_xlfn.TEXTJOIN(",",TRUE,Table6[[#This Row],[Product ID]:[Stock]])</f>
        <v>113,Router,120,90</v>
      </c>
    </row>
    <row r="22" spans="2:8" hidden="1" x14ac:dyDescent="0.4">
      <c r="B22" s="11">
        <v>114</v>
      </c>
      <c r="C22" s="4" t="s">
        <v>194</v>
      </c>
      <c r="D22" s="4">
        <v>40</v>
      </c>
      <c r="E22" s="4">
        <v>150</v>
      </c>
      <c r="F22" s="4" t="str">
        <f>_xlfn.TEXTJOIN(",",TRUE,Table6[[#This Row],[Product ID]:[Stock]])</f>
        <v>114,Webcam,40,150</v>
      </c>
    </row>
    <row r="23" spans="2:8" hidden="1" x14ac:dyDescent="0.4">
      <c r="B23" s="11">
        <v>115</v>
      </c>
      <c r="C23" s="4" t="s">
        <v>195</v>
      </c>
      <c r="D23" s="4">
        <v>80</v>
      </c>
      <c r="E23" s="4">
        <v>200</v>
      </c>
      <c r="F23" s="4" t="str">
        <f>_xlfn.TEXTJOIN(",",TRUE,Table6[[#This Row],[Product ID]:[Stock]])</f>
        <v>115,External HDD,80,200</v>
      </c>
    </row>
    <row r="24" spans="2:8" hidden="1" x14ac:dyDescent="0.4">
      <c r="B24" s="11">
        <v>116</v>
      </c>
      <c r="C24" s="4" t="s">
        <v>196</v>
      </c>
      <c r="D24" s="4">
        <v>15</v>
      </c>
      <c r="E24" s="4">
        <v>300</v>
      </c>
      <c r="F24" s="4" t="str">
        <f>_xlfn.TEXTJOIN(",",TRUE,Table6[[#This Row],[Product ID]:[Stock]])</f>
        <v>116,Flash Drive,15,300</v>
      </c>
    </row>
    <row r="25" spans="2:8" hidden="1" x14ac:dyDescent="0.4">
      <c r="B25" s="11">
        <v>117</v>
      </c>
      <c r="C25" s="4" t="s">
        <v>197</v>
      </c>
      <c r="D25" s="4">
        <v>350</v>
      </c>
      <c r="E25" s="4">
        <v>25</v>
      </c>
      <c r="F25" s="4" t="str">
        <f>_xlfn.TEXTJOIN(",",TRUE,Table6[[#This Row],[Product ID]:[Stock]])</f>
        <v>117,Projector,350,25</v>
      </c>
    </row>
    <row r="26" spans="2:8" x14ac:dyDescent="0.4">
      <c r="B26" s="11">
        <v>108</v>
      </c>
      <c r="C26" s="4" t="s">
        <v>188</v>
      </c>
      <c r="D26" s="4">
        <v>30</v>
      </c>
      <c r="E26" s="4">
        <v>150</v>
      </c>
      <c r="F26" s="4" t="str">
        <f>_xlfn.TEXTJOIN(",",TRUE,Table6[[#This Row],[Product ID]:[Stock]])</f>
        <v>108,Mouse,30,150</v>
      </c>
    </row>
    <row r="27" spans="2:8" x14ac:dyDescent="0.4">
      <c r="B27"/>
      <c r="C27"/>
      <c r="D27"/>
      <c r="E27"/>
      <c r="F27"/>
      <c r="G27"/>
      <c r="H27"/>
    </row>
    <row r="28" spans="2:8" x14ac:dyDescent="0.4">
      <c r="B28"/>
      <c r="C28"/>
      <c r="D28"/>
      <c r="E28"/>
      <c r="F28"/>
      <c r="G28"/>
      <c r="H28"/>
    </row>
    <row r="29" spans="2:8" x14ac:dyDescent="0.4">
      <c r="B29"/>
      <c r="C29"/>
      <c r="D29"/>
      <c r="E29"/>
      <c r="F29"/>
      <c r="G29"/>
      <c r="H29"/>
    </row>
    <row r="30" spans="2:8" x14ac:dyDescent="0.4">
      <c r="B30"/>
      <c r="C30"/>
      <c r="D30"/>
      <c r="E30"/>
      <c r="F30"/>
      <c r="G30"/>
      <c r="H30"/>
    </row>
  </sheetData>
  <conditionalFormatting sqref="F7:F26">
    <cfRule type="duplicateValues" dxfId="8" priority="1"/>
  </conditionalFormatting>
  <pageMargins left="0.7" right="0.7" top="0.75" bottom="0.75" header="0.3" footer="0.3"/>
  <pageSetup paperSize="9" orientation="portrait" r:id="rId1"/>
  <drawing r:id="rId2"/>
  <tableParts count="1">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A8D59-B3D7-4EEE-8BBA-B8ACB8584A57}">
  <dimension ref="A1:P30"/>
  <sheetViews>
    <sheetView showGridLines="0" workbookViewId="0">
      <selection activeCell="F7" sqref="F7"/>
    </sheetView>
  </sheetViews>
  <sheetFormatPr defaultColWidth="9.109375" defaultRowHeight="16.8" x14ac:dyDescent="0.4"/>
  <cols>
    <col min="1" max="1" width="3.44140625" style="4" customWidth="1"/>
    <col min="2" max="2" width="14.33203125" style="4" bestFit="1" customWidth="1"/>
    <col min="3" max="3" width="18.109375" style="4" bestFit="1" customWidth="1"/>
    <col min="4" max="4" width="8.44140625" style="4" bestFit="1" customWidth="1"/>
    <col min="5" max="5" width="9" style="4" bestFit="1" customWidth="1"/>
    <col min="6" max="6" width="25" style="4" bestFit="1" customWidth="1"/>
    <col min="7" max="7" width="27.109375" style="4" bestFit="1" customWidth="1"/>
    <col min="8" max="8" width="10" style="4" bestFit="1" customWidth="1"/>
    <col min="9" max="9" width="11.88671875" style="4" bestFit="1" customWidth="1"/>
    <col min="10" max="10" width="14.33203125" style="4" bestFit="1" customWidth="1"/>
    <col min="11" max="11" width="18.109375" style="4" bestFit="1" customWidth="1"/>
    <col min="12" max="12" width="8.44140625" style="4" bestFit="1" customWidth="1"/>
    <col min="13" max="13" width="9" style="4" bestFit="1" customWidth="1"/>
    <col min="14" max="14" width="25" style="4" bestFit="1" customWidth="1"/>
    <col min="15" max="15" width="9.33203125" style="4" customWidth="1"/>
    <col min="16" max="16" width="17" style="4" bestFit="1" customWidth="1"/>
    <col min="17" max="18" width="15.88671875" style="4" customWidth="1"/>
    <col min="19" max="16384" width="9.109375" style="4"/>
  </cols>
  <sheetData>
    <row r="1" spans="1:16" s="9" customFormat="1" ht="48.75" customHeight="1" x14ac:dyDescent="0.4">
      <c r="A1" s="7" t="s">
        <v>239</v>
      </c>
      <c r="B1" s="7"/>
      <c r="C1" s="7"/>
      <c r="D1" s="7"/>
      <c r="E1" s="7"/>
      <c r="F1" s="7"/>
      <c r="G1" s="7"/>
      <c r="H1" s="7"/>
      <c r="I1" s="7"/>
      <c r="J1" s="7"/>
      <c r="K1" s="7"/>
      <c r="L1" s="7"/>
      <c r="M1" s="7"/>
      <c r="N1" s="7"/>
      <c r="O1" s="7"/>
      <c r="P1" s="7"/>
    </row>
    <row r="3" spans="1:16" x14ac:dyDescent="0.4">
      <c r="B3" s="4" t="s">
        <v>230</v>
      </c>
    </row>
    <row r="4" spans="1:16" x14ac:dyDescent="0.4">
      <c r="B4" s="4" t="s">
        <v>231</v>
      </c>
    </row>
    <row r="5" spans="1:16" x14ac:dyDescent="0.4">
      <c r="B5"/>
      <c r="C5"/>
      <c r="D5"/>
      <c r="E5"/>
      <c r="F5"/>
      <c r="G5"/>
      <c r="H5"/>
    </row>
    <row r="6" spans="1:16" x14ac:dyDescent="0.4">
      <c r="B6" s="4" t="s">
        <v>142</v>
      </c>
      <c r="C6" s="4" t="s">
        <v>143</v>
      </c>
      <c r="D6" s="4" t="s">
        <v>146</v>
      </c>
      <c r="E6" s="4" t="s">
        <v>185</v>
      </c>
      <c r="F6" s="4" t="s">
        <v>199</v>
      </c>
      <c r="G6" s="4" t="s">
        <v>200</v>
      </c>
    </row>
    <row r="7" spans="1:16" x14ac:dyDescent="0.4">
      <c r="B7" s="11">
        <v>101</v>
      </c>
      <c r="C7" s="4" t="s">
        <v>147</v>
      </c>
      <c r="D7" s="4">
        <v>1200</v>
      </c>
      <c r="E7" s="4">
        <v>50</v>
      </c>
      <c r="F7" s="4" t="str">
        <f>_xlfn.TEXTJOIN(",",TRUE,Table5[[#This Row],[Product ID]:[Stock]])</f>
        <v>101,Laptop,1200,50</v>
      </c>
      <c r="G7" s="4" t="str">
        <f>_xlfn.CONCAT(Table5[[#This Row],[Product ID]:[Stock]])</f>
        <v>101Laptop120050</v>
      </c>
    </row>
    <row r="8" spans="1:16" x14ac:dyDescent="0.4">
      <c r="B8" s="11">
        <v>102</v>
      </c>
      <c r="C8" s="4" t="s">
        <v>150</v>
      </c>
      <c r="D8" s="4">
        <v>800</v>
      </c>
      <c r="E8" s="4">
        <v>30</v>
      </c>
      <c r="F8" s="4" t="str">
        <f>_xlfn.TEXTJOIN(",",TRUE,Table5[[#This Row],[Product ID]:[Stock]])</f>
        <v>102,Smartphone,800,30</v>
      </c>
      <c r="G8" s="4" t="str">
        <f>_xlfn.CONCAT(Table5[[#This Row],[Product ID]:[Stock]])</f>
        <v>102Smartphone80030</v>
      </c>
    </row>
    <row r="9" spans="1:16" hidden="1" x14ac:dyDescent="0.4">
      <c r="B9" s="11">
        <v>103</v>
      </c>
      <c r="C9" s="4" t="s">
        <v>153</v>
      </c>
      <c r="D9" s="4">
        <v>600</v>
      </c>
      <c r="E9" s="4">
        <v>40</v>
      </c>
      <c r="F9" s="4" t="str">
        <f>_xlfn.TEXTJOIN(",",TRUE,Table5[[#This Row],[Product ID]:[Stock]])</f>
        <v>103,Tablet,600,40</v>
      </c>
      <c r="G9" s="4" t="str">
        <f>_xlfn.CONCAT(Table5[[#This Row],[Product ID]:[Stock]])</f>
        <v>103Tablet60040</v>
      </c>
    </row>
    <row r="10" spans="1:16" hidden="1" x14ac:dyDescent="0.4">
      <c r="B10" s="11">
        <v>104</v>
      </c>
      <c r="C10" s="4" t="s">
        <v>156</v>
      </c>
      <c r="D10" s="4">
        <v>150</v>
      </c>
      <c r="E10" s="4">
        <v>100</v>
      </c>
      <c r="F10" s="4" t="str">
        <f>_xlfn.TEXTJOIN(",",TRUE,Table5[[#This Row],[Product ID]:[Stock]])</f>
        <v>104,Headphones,150,100</v>
      </c>
      <c r="G10" s="4" t="str">
        <f>_xlfn.CONCAT(Table5[[#This Row],[Product ID]:[Stock]])</f>
        <v>104Headphones150100</v>
      </c>
    </row>
    <row r="11" spans="1:16" hidden="1" x14ac:dyDescent="0.4">
      <c r="B11" s="11">
        <v>105</v>
      </c>
      <c r="C11" s="4" t="s">
        <v>158</v>
      </c>
      <c r="D11" s="4">
        <v>250</v>
      </c>
      <c r="E11" s="4">
        <v>60</v>
      </c>
      <c r="F11" s="4" t="str">
        <f>_xlfn.TEXTJOIN(",",TRUE,Table5[[#This Row],[Product ID]:[Stock]])</f>
        <v>105,Smartwatch,250,60</v>
      </c>
      <c r="G11" s="4" t="str">
        <f>_xlfn.CONCAT(Table5[[#This Row],[Product ID]:[Stock]])</f>
        <v>105Smartwatch25060</v>
      </c>
    </row>
    <row r="12" spans="1:16" hidden="1" x14ac:dyDescent="0.4">
      <c r="B12" s="11">
        <v>106</v>
      </c>
      <c r="C12" s="4" t="s">
        <v>186</v>
      </c>
      <c r="D12" s="4">
        <v>300</v>
      </c>
      <c r="E12" s="4">
        <v>80</v>
      </c>
      <c r="F12" s="4" t="str">
        <f>_xlfn.TEXTJOIN(",",TRUE,Table5[[#This Row],[Product ID]:[Stock]])</f>
        <v>106,Monitor,300,80</v>
      </c>
      <c r="G12" s="4" t="str">
        <f>_xlfn.CONCAT(Table5[[#This Row],[Product ID]:[Stock]])</f>
        <v>106Monitor30080</v>
      </c>
    </row>
    <row r="13" spans="1:16" hidden="1" x14ac:dyDescent="0.4">
      <c r="B13" s="11">
        <v>107</v>
      </c>
      <c r="C13" s="4" t="s">
        <v>187</v>
      </c>
      <c r="D13" s="4">
        <v>50</v>
      </c>
      <c r="E13" s="4">
        <v>120</v>
      </c>
      <c r="F13" s="4" t="str">
        <f>_xlfn.TEXTJOIN(",",TRUE,Table5[[#This Row],[Product ID]:[Stock]])</f>
        <v>107,Keyboard,50,120</v>
      </c>
      <c r="G13" s="4" t="str">
        <f>_xlfn.CONCAT(Table5[[#This Row],[Product ID]:[Stock]])</f>
        <v>107Keyboard50120</v>
      </c>
    </row>
    <row r="14" spans="1:16" x14ac:dyDescent="0.4">
      <c r="B14" s="11">
        <v>108</v>
      </c>
      <c r="C14" s="4" t="s">
        <v>188</v>
      </c>
      <c r="D14" s="4">
        <v>30</v>
      </c>
      <c r="E14" s="4">
        <v>150</v>
      </c>
      <c r="F14" s="4" t="str">
        <f>_xlfn.TEXTJOIN(",",TRUE,Table5[[#This Row],[Product ID]:[Stock]])</f>
        <v>108,Mouse,30,150</v>
      </c>
      <c r="G14" s="4" t="str">
        <f>_xlfn.CONCAT(Table5[[#This Row],[Product ID]:[Stock]])</f>
        <v>108Mouse30150</v>
      </c>
    </row>
    <row r="15" spans="1:16" hidden="1" x14ac:dyDescent="0.4">
      <c r="B15" s="11">
        <v>109</v>
      </c>
      <c r="C15" s="4" t="s">
        <v>189</v>
      </c>
      <c r="D15" s="4">
        <v>200</v>
      </c>
      <c r="E15" s="4">
        <v>70</v>
      </c>
      <c r="F15" s="4" t="str">
        <f>_xlfn.TEXTJOIN(",",TRUE,Table5[[#This Row],[Product ID]:[Stock]])</f>
        <v>109,Printer,200,70</v>
      </c>
      <c r="G15" s="4" t="str">
        <f>_xlfn.CONCAT(Table5[[#This Row],[Product ID]:[Stock]])</f>
        <v>109Printer20070</v>
      </c>
    </row>
    <row r="16" spans="1:16" hidden="1" x14ac:dyDescent="0.4">
      <c r="B16" s="11">
        <v>110</v>
      </c>
      <c r="C16" s="4" t="s">
        <v>190</v>
      </c>
      <c r="D16" s="4">
        <v>100</v>
      </c>
      <c r="E16" s="4">
        <v>30</v>
      </c>
      <c r="F16" s="4" t="str">
        <f>_xlfn.TEXTJOIN(",",TRUE,Table5[[#This Row],[Product ID]:[Stock]])</f>
        <v>110,Scanner,100,30</v>
      </c>
      <c r="G16" s="4" t="str">
        <f>_xlfn.CONCAT(Table5[[#This Row],[Product ID]:[Stock]])</f>
        <v>110Scanner10030</v>
      </c>
    </row>
    <row r="17" spans="2:8" x14ac:dyDescent="0.4">
      <c r="B17" s="11">
        <v>101</v>
      </c>
      <c r="C17" s="4" t="s">
        <v>147</v>
      </c>
      <c r="D17" s="4">
        <v>1200</v>
      </c>
      <c r="E17" s="4">
        <v>50</v>
      </c>
      <c r="F17" s="4" t="str">
        <f>_xlfn.TEXTJOIN(",",TRUE,Table5[[#This Row],[Product ID]:[Stock]])</f>
        <v>101,Laptop,1200,50</v>
      </c>
      <c r="G17" s="4" t="str">
        <f>_xlfn.CONCAT(Table5[[#This Row],[Product ID]:[Stock]])</f>
        <v>101Laptop120050</v>
      </c>
    </row>
    <row r="18" spans="2:8" hidden="1" x14ac:dyDescent="0.4">
      <c r="B18" s="11">
        <v>111</v>
      </c>
      <c r="C18" s="4" t="s">
        <v>191</v>
      </c>
      <c r="D18" s="4">
        <v>70</v>
      </c>
      <c r="E18" s="4">
        <v>40</v>
      </c>
      <c r="F18" s="4" t="str">
        <f>_xlfn.TEXTJOIN(",",TRUE,Table5[[#This Row],[Product ID]:[Stock]])</f>
        <v>111,Speaker,70,40</v>
      </c>
      <c r="G18" s="4" t="str">
        <f>_xlfn.CONCAT(Table5[[#This Row],[Product ID]:[Stock]])</f>
        <v>111Speaker7040</v>
      </c>
    </row>
    <row r="19" spans="2:8" x14ac:dyDescent="0.4">
      <c r="B19" s="11">
        <v>102</v>
      </c>
      <c r="C19" s="4" t="s">
        <v>150</v>
      </c>
      <c r="D19" s="4">
        <v>800</v>
      </c>
      <c r="E19" s="4">
        <v>30</v>
      </c>
      <c r="F19" s="4" t="str">
        <f>_xlfn.TEXTJOIN(",",TRUE,Table5[[#This Row],[Product ID]:[Stock]])</f>
        <v>102,Smartphone,800,30</v>
      </c>
      <c r="G19" s="4" t="str">
        <f>_xlfn.CONCAT(Table5[[#This Row],[Product ID]:[Stock]])</f>
        <v>102Smartphone80030</v>
      </c>
    </row>
    <row r="20" spans="2:8" hidden="1" x14ac:dyDescent="0.4">
      <c r="B20" s="11">
        <v>112</v>
      </c>
      <c r="C20" s="4" t="s">
        <v>192</v>
      </c>
      <c r="D20" s="4">
        <v>500</v>
      </c>
      <c r="E20" s="4">
        <v>20</v>
      </c>
      <c r="F20" s="4" t="str">
        <f>_xlfn.TEXTJOIN(",",TRUE,Table5[[#This Row],[Product ID]:[Stock]])</f>
        <v>112,Camera,500,20</v>
      </c>
      <c r="G20" s="4" t="str">
        <f>_xlfn.CONCAT(Table5[[#This Row],[Product ID]:[Stock]])</f>
        <v>112Camera50020</v>
      </c>
    </row>
    <row r="21" spans="2:8" hidden="1" x14ac:dyDescent="0.4">
      <c r="B21" s="11">
        <v>113</v>
      </c>
      <c r="C21" s="4" t="s">
        <v>193</v>
      </c>
      <c r="D21" s="4">
        <v>120</v>
      </c>
      <c r="E21" s="4">
        <v>90</v>
      </c>
      <c r="F21" s="4" t="str">
        <f>_xlfn.TEXTJOIN(",",TRUE,Table5[[#This Row],[Product ID]:[Stock]])</f>
        <v>113,Router,120,90</v>
      </c>
      <c r="G21" s="4" t="str">
        <f>_xlfn.CONCAT(Table5[[#This Row],[Product ID]:[Stock]])</f>
        <v>113Router12090</v>
      </c>
    </row>
    <row r="22" spans="2:8" hidden="1" x14ac:dyDescent="0.4">
      <c r="B22" s="11">
        <v>114</v>
      </c>
      <c r="C22" s="4" t="s">
        <v>194</v>
      </c>
      <c r="D22" s="4">
        <v>40</v>
      </c>
      <c r="E22" s="4">
        <v>150</v>
      </c>
      <c r="F22" s="4" t="str">
        <f>_xlfn.TEXTJOIN(",",TRUE,Table5[[#This Row],[Product ID]:[Stock]])</f>
        <v>114,Webcam,40,150</v>
      </c>
      <c r="G22" s="4" t="str">
        <f>_xlfn.CONCAT(Table5[[#This Row],[Product ID]:[Stock]])</f>
        <v>114Webcam40150</v>
      </c>
    </row>
    <row r="23" spans="2:8" hidden="1" x14ac:dyDescent="0.4">
      <c r="B23" s="11">
        <v>115</v>
      </c>
      <c r="C23" s="4" t="s">
        <v>195</v>
      </c>
      <c r="D23" s="4">
        <v>80</v>
      </c>
      <c r="E23" s="4">
        <v>200</v>
      </c>
      <c r="F23" s="4" t="str">
        <f>_xlfn.TEXTJOIN(",",TRUE,Table5[[#This Row],[Product ID]:[Stock]])</f>
        <v>115,External HDD,80,200</v>
      </c>
      <c r="G23" s="4" t="str">
        <f>_xlfn.CONCAT(Table5[[#This Row],[Product ID]:[Stock]])</f>
        <v>115External HDD80200</v>
      </c>
    </row>
    <row r="24" spans="2:8" hidden="1" x14ac:dyDescent="0.4">
      <c r="B24" s="11">
        <v>116</v>
      </c>
      <c r="C24" s="4" t="s">
        <v>196</v>
      </c>
      <c r="D24" s="4">
        <v>15</v>
      </c>
      <c r="E24" s="4">
        <v>300</v>
      </c>
      <c r="F24" s="4" t="str">
        <f>_xlfn.TEXTJOIN(",",TRUE,Table5[[#This Row],[Product ID]:[Stock]])</f>
        <v>116,Flash Drive,15,300</v>
      </c>
      <c r="G24" s="4" t="str">
        <f>_xlfn.CONCAT(Table5[[#This Row],[Product ID]:[Stock]])</f>
        <v>116Flash Drive15300</v>
      </c>
    </row>
    <row r="25" spans="2:8" hidden="1" x14ac:dyDescent="0.4">
      <c r="B25" s="11">
        <v>117</v>
      </c>
      <c r="C25" s="4" t="s">
        <v>197</v>
      </c>
      <c r="D25" s="4">
        <v>350</v>
      </c>
      <c r="E25" s="4">
        <v>25</v>
      </c>
      <c r="F25" s="4" t="str">
        <f>_xlfn.TEXTJOIN(",",TRUE,Table5[[#This Row],[Product ID]:[Stock]])</f>
        <v>117,Projector,350,25</v>
      </c>
      <c r="G25" s="4" t="str">
        <f>_xlfn.CONCAT(Table5[[#This Row],[Product ID]:[Stock]])</f>
        <v>117Projector35025</v>
      </c>
    </row>
    <row r="26" spans="2:8" x14ac:dyDescent="0.4">
      <c r="B26" s="11">
        <v>108</v>
      </c>
      <c r="C26" s="4" t="s">
        <v>188</v>
      </c>
      <c r="D26" s="4">
        <v>30</v>
      </c>
      <c r="E26" s="4">
        <v>150</v>
      </c>
      <c r="F26" s="4" t="str">
        <f>_xlfn.TEXTJOIN(",",TRUE,Table5[[#This Row],[Product ID]:[Stock]])</f>
        <v>108,Mouse,30,150</v>
      </c>
      <c r="G26" s="4" t="str">
        <f>_xlfn.CONCAT(Table5[[#This Row],[Product ID]:[Stock]])</f>
        <v>108Mouse30150</v>
      </c>
    </row>
    <row r="27" spans="2:8" x14ac:dyDescent="0.4">
      <c r="B27"/>
      <c r="C27"/>
      <c r="D27"/>
      <c r="E27"/>
      <c r="F27"/>
      <c r="G27"/>
      <c r="H27"/>
    </row>
    <row r="28" spans="2:8" x14ac:dyDescent="0.4">
      <c r="B28"/>
      <c r="C28"/>
      <c r="D28"/>
      <c r="E28"/>
      <c r="F28"/>
      <c r="G28"/>
      <c r="H28"/>
    </row>
    <row r="29" spans="2:8" x14ac:dyDescent="0.4">
      <c r="B29"/>
      <c r="C29"/>
      <c r="D29"/>
      <c r="E29"/>
      <c r="F29"/>
      <c r="G29"/>
      <c r="H29"/>
    </row>
    <row r="30" spans="2:8" x14ac:dyDescent="0.4">
      <c r="B30"/>
      <c r="C30"/>
      <c r="D30"/>
      <c r="E30"/>
      <c r="F30"/>
      <c r="G30"/>
      <c r="H30"/>
    </row>
  </sheetData>
  <conditionalFormatting sqref="F7:F26">
    <cfRule type="duplicateValues" dxfId="11" priority="2"/>
  </conditionalFormatting>
  <conditionalFormatting sqref="G7:G26">
    <cfRule type="duplicateValues" dxfId="10" priority="1"/>
  </conditionalFormatting>
  <pageMargins left="0.7" right="0.7" top="0.75" bottom="0.75" header="0.3" footer="0.3"/>
  <pageSetup paperSize="9" orientation="portrait" r:id="rId1"/>
  <drawing r:id="rId2"/>
  <tableParts count="1">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8D3DE-88AA-41BC-8883-595425285605}">
  <dimension ref="A1:H36"/>
  <sheetViews>
    <sheetView showGridLines="0" showRowColHeaders="0" zoomScaleNormal="100" workbookViewId="0">
      <selection activeCell="C27" sqref="C27"/>
    </sheetView>
  </sheetViews>
  <sheetFormatPr defaultColWidth="0" defaultRowHeight="14.4" zeroHeight="1" x14ac:dyDescent="0.3"/>
  <cols>
    <col min="1" max="1" width="4" customWidth="1"/>
    <col min="2" max="2" width="46.33203125" customWidth="1"/>
    <col min="3" max="3" width="61" customWidth="1"/>
    <col min="4" max="4" width="1.44140625" customWidth="1"/>
    <col min="5" max="7" width="9.109375" customWidth="1"/>
    <col min="8" max="16384" width="9.109375" hidden="1"/>
  </cols>
  <sheetData>
    <row r="1" spans="1:8" ht="51" customHeight="1" x14ac:dyDescent="0.3">
      <c r="A1" s="7" t="s">
        <v>9</v>
      </c>
      <c r="B1" s="7"/>
      <c r="C1" s="7"/>
      <c r="D1" s="7"/>
      <c r="E1" s="7"/>
      <c r="F1" s="7"/>
      <c r="G1" s="7"/>
      <c r="H1" s="7"/>
    </row>
    <row r="2" spans="1:8" x14ac:dyDescent="0.3"/>
    <row r="3" spans="1:8" x14ac:dyDescent="0.3">
      <c r="B3" s="1" t="s">
        <v>10</v>
      </c>
    </row>
    <row r="4" spans="1:8" x14ac:dyDescent="0.3">
      <c r="B4" s="2" t="s">
        <v>11</v>
      </c>
      <c r="C4" s="3" t="s">
        <v>12</v>
      </c>
    </row>
    <row r="5" spans="1:8" x14ac:dyDescent="0.3">
      <c r="B5" s="2" t="s">
        <v>13</v>
      </c>
      <c r="C5" s="3" t="s">
        <v>14</v>
      </c>
    </row>
    <row r="6" spans="1:8" x14ac:dyDescent="0.3">
      <c r="B6" s="2" t="s">
        <v>15</v>
      </c>
      <c r="C6" s="3" t="s">
        <v>16</v>
      </c>
    </row>
    <row r="7" spans="1:8" x14ac:dyDescent="0.3"/>
    <row r="8" spans="1:8" x14ac:dyDescent="0.3">
      <c r="B8" s="1" t="s">
        <v>17</v>
      </c>
    </row>
    <row r="9" spans="1:8" x14ac:dyDescent="0.3">
      <c r="B9" s="2" t="s">
        <v>18</v>
      </c>
      <c r="C9" s="3" t="s">
        <v>19</v>
      </c>
    </row>
    <row r="10" spans="1:8" x14ac:dyDescent="0.3"/>
    <row r="11" spans="1:8" x14ac:dyDescent="0.3">
      <c r="B11" s="1" t="s">
        <v>20</v>
      </c>
    </row>
    <row r="12" spans="1:8" x14ac:dyDescent="0.3">
      <c r="B12" s="2" t="s">
        <v>21</v>
      </c>
      <c r="C12" s="3" t="s">
        <v>22</v>
      </c>
    </row>
    <row r="13" spans="1:8" x14ac:dyDescent="0.3">
      <c r="B13" s="2" t="s">
        <v>23</v>
      </c>
      <c r="C13" s="3" t="s">
        <v>24</v>
      </c>
    </row>
    <row r="14" spans="1:8" x14ac:dyDescent="0.3">
      <c r="B14" s="2" t="s">
        <v>25</v>
      </c>
      <c r="C14" s="3" t="s">
        <v>26</v>
      </c>
    </row>
    <row r="15" spans="1:8" x14ac:dyDescent="0.3">
      <c r="B15" s="2" t="s">
        <v>27</v>
      </c>
      <c r="C15" s="3" t="s">
        <v>28</v>
      </c>
    </row>
    <row r="16" spans="1:8" x14ac:dyDescent="0.3">
      <c r="B16" s="2" t="s">
        <v>29</v>
      </c>
      <c r="C16" s="3" t="s">
        <v>30</v>
      </c>
    </row>
    <row r="17" spans="2:3" x14ac:dyDescent="0.3">
      <c r="B17" s="2" t="s">
        <v>31</v>
      </c>
      <c r="C17" s="3" t="s">
        <v>32</v>
      </c>
    </row>
    <row r="18" spans="2:3" x14ac:dyDescent="0.3">
      <c r="B18" s="2" t="s">
        <v>33</v>
      </c>
      <c r="C18" s="3" t="s">
        <v>34</v>
      </c>
    </row>
    <row r="19" spans="2:3" x14ac:dyDescent="0.3">
      <c r="B19" s="2" t="s">
        <v>35</v>
      </c>
      <c r="C19" s="3" t="s">
        <v>36</v>
      </c>
    </row>
    <row r="20" spans="2:3" x14ac:dyDescent="0.3">
      <c r="B20" s="2" t="s">
        <v>37</v>
      </c>
      <c r="C20" s="3" t="s">
        <v>38</v>
      </c>
    </row>
    <row r="21" spans="2:3" x14ac:dyDescent="0.3">
      <c r="B21" s="2" t="s">
        <v>39</v>
      </c>
      <c r="C21" s="3" t="s">
        <v>40</v>
      </c>
    </row>
    <row r="22" spans="2:3" x14ac:dyDescent="0.3">
      <c r="B22" s="2" t="s">
        <v>41</v>
      </c>
      <c r="C22" s="3" t="s">
        <v>42</v>
      </c>
    </row>
    <row r="23" spans="2:3" x14ac:dyDescent="0.3">
      <c r="B23" s="2" t="s">
        <v>43</v>
      </c>
      <c r="C23" s="3" t="s">
        <v>44</v>
      </c>
    </row>
    <row r="24" spans="2:3" x14ac:dyDescent="0.3">
      <c r="B24" s="2" t="s">
        <v>45</v>
      </c>
      <c r="C24" s="3" t="s">
        <v>46</v>
      </c>
    </row>
    <row r="25" spans="2:3" x14ac:dyDescent="0.3">
      <c r="B25" s="2" t="s">
        <v>47</v>
      </c>
      <c r="C25" s="3" t="s">
        <v>48</v>
      </c>
    </row>
    <row r="26" spans="2:3" x14ac:dyDescent="0.3">
      <c r="B26" s="2" t="s">
        <v>87</v>
      </c>
      <c r="C26" s="3" t="s">
        <v>88</v>
      </c>
    </row>
    <row r="27" spans="2:3" x14ac:dyDescent="0.3">
      <c r="B27" s="2"/>
      <c r="C27" s="3"/>
    </row>
    <row r="28" spans="2:3" x14ac:dyDescent="0.3">
      <c r="B28" s="1" t="s">
        <v>49</v>
      </c>
    </row>
    <row r="29" spans="2:3" x14ac:dyDescent="0.3">
      <c r="B29" s="2" t="s">
        <v>50</v>
      </c>
      <c r="C29" s="3" t="s">
        <v>51</v>
      </c>
    </row>
    <row r="30" spans="2:3" x14ac:dyDescent="0.3">
      <c r="B30" s="2"/>
      <c r="C30" s="3"/>
    </row>
    <row r="31" spans="2:3" x14ac:dyDescent="0.3">
      <c r="B31" s="1" t="s">
        <v>86</v>
      </c>
      <c r="C31" s="3"/>
    </row>
    <row r="32" spans="2:3" x14ac:dyDescent="0.3"/>
    <row r="33" x14ac:dyDescent="0.3"/>
    <row r="34" x14ac:dyDescent="0.3"/>
    <row r="35" x14ac:dyDescent="0.3"/>
    <row r="36" x14ac:dyDescent="0.3"/>
  </sheetData>
  <hyperlinks>
    <hyperlink ref="C5" r:id="rId1" display="http://www.myonlinetraininghub.com/category/excel-charts" xr:uid="{CBA3C5AE-F901-47B0-B67E-A1783E05F6E4}"/>
    <hyperlink ref="C6" r:id="rId2" display="http://www.myonlinetraininghub.com/category/excel-dashboard" xr:uid="{D7A546FB-FBA8-40D4-B30C-D5713B79236C}"/>
    <hyperlink ref="C19" r:id="rId3" xr:uid="{038998E4-0014-4A81-9203-5D2ADFA68058}"/>
    <hyperlink ref="C9" r:id="rId4" display="http://www.myonlinetraininghub.com/excel-webinars" xr:uid="{59ED9355-3D75-41BB-B4EF-7AAAE7367134}"/>
    <hyperlink ref="C29" r:id="rId5" xr:uid="{EADAD965-8DC6-45D9-8D53-73D3EF04FEC7}"/>
    <hyperlink ref="C18" r:id="rId6" xr:uid="{F227F448-016C-426E-970F-EAAAF5E08AD1}"/>
    <hyperlink ref="C4" r:id="rId7" xr:uid="{C3E484EE-D98F-4674-B98D-9E57D1B1F041}"/>
    <hyperlink ref="C12" r:id="rId8" xr:uid="{A507D987-5B9B-4B33-A65C-9356F3F705C6}"/>
    <hyperlink ref="C13" r:id="rId9" xr:uid="{53486588-E007-491F-BC15-4442DD57ABF1}"/>
    <hyperlink ref="C14" r:id="rId10" xr:uid="{C85AE476-008D-4A1D-B7FD-5313A0299D82}"/>
    <hyperlink ref="C15" r:id="rId11" xr:uid="{FB8E88B7-A576-49D4-B6BB-3BA1DC493EAD}"/>
    <hyperlink ref="C16" r:id="rId12" xr:uid="{0156FA2A-8263-4734-A72F-E24048BF94FF}"/>
    <hyperlink ref="C17" r:id="rId13" xr:uid="{3713E75B-1796-435A-BD92-229997677D60}"/>
    <hyperlink ref="C20" r:id="rId14" xr:uid="{AB20A9AD-BAA2-450A-820A-F6FF148068C0}"/>
    <hyperlink ref="C21" r:id="rId15" xr:uid="{CEC07DA0-3EFD-41D1-AD4A-F5B7FA220682}"/>
    <hyperlink ref="C22" r:id="rId16" xr:uid="{047D8E6A-BC21-4621-84A0-758CE29BEFC6}"/>
    <hyperlink ref="C23" r:id="rId17" xr:uid="{2256B14F-C23D-43ED-B65A-1A2AB6EA7DCB}"/>
    <hyperlink ref="C24" r:id="rId18" xr:uid="{D07AA9E9-95A5-492A-A118-A728D44F4904}"/>
    <hyperlink ref="C25" r:id="rId19" xr:uid="{FEA884D9-F3FA-4C59-8E42-6C0A8BE7329D}"/>
    <hyperlink ref="C26" r:id="rId20" xr:uid="{0775090E-8367-45FE-B614-E5EA0105E96E}"/>
  </hyperlinks>
  <pageMargins left="0.7" right="0.7" top="0.75" bottom="0.75" header="0.3" footer="0.3"/>
  <drawing r:id="rId2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6A9E49C56486844AEA3493470A3BA7F" ma:contentTypeVersion="10" ma:contentTypeDescription="Create a new document." ma:contentTypeScope="" ma:versionID="ee49642cd881f6af9bd43a54f5ae3499">
  <xsd:schema xmlns:xsd="http://www.w3.org/2001/XMLSchema" xmlns:xs="http://www.w3.org/2001/XMLSchema" xmlns:p="http://schemas.microsoft.com/office/2006/metadata/properties" xmlns:ns3="04ec5a1a-e29c-407e-9660-cb4eaaff03ab" xmlns:ns4="98587d8b-32ff-4694-8d3a-6f66eb643b0d" targetNamespace="http://schemas.microsoft.com/office/2006/metadata/properties" ma:root="true" ma:fieldsID="0128113e904f3f2ca999b84155b1dfd6" ns3:_="" ns4:_="">
    <xsd:import namespace="04ec5a1a-e29c-407e-9660-cb4eaaff03ab"/>
    <xsd:import namespace="98587d8b-32ff-4694-8d3a-6f66eb643b0d"/>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ec5a1a-e29c-407e-9660-cb4eaaff03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87d8b-32ff-4694-8d3a-6f66eb643b0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F6676B0-BE5C-4C14-974A-7289CF5110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ec5a1a-e29c-407e-9660-cb4eaaff03ab"/>
    <ds:schemaRef ds:uri="98587d8b-32ff-4694-8d3a-6f66eb643b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6F14EA0-1B09-4BA6-A1E0-FED8521C2BE1}">
  <ds:schemaRefs>
    <ds:schemaRef ds:uri="http://schemas.microsoft.com/sharepoint/v3/contenttype/forms"/>
  </ds:schemaRefs>
</ds:datastoreItem>
</file>

<file path=customXml/itemProps3.xml><?xml version="1.0" encoding="utf-8"?>
<ds:datastoreItem xmlns:ds="http://schemas.openxmlformats.org/officeDocument/2006/customXml" ds:itemID="{84B241E6-AE4C-4EA5-96CC-6E77ABF1BB4A}">
  <ds:schemaRefs>
    <ds:schemaRef ds:uri="http://schemas.microsoft.com/DataMashup"/>
  </ds:schemaRefs>
</ds:datastoreItem>
</file>

<file path=customXml/itemProps4.xml><?xml version="1.0" encoding="utf-8"?>
<ds:datastoreItem xmlns:ds="http://schemas.openxmlformats.org/officeDocument/2006/customXml" ds:itemID="{8C00B319-165B-4AE8-A6AE-EED707A1FDFE}">
  <ds:schemaRefs>
    <ds:schemaRef ds:uri="http://schemas.microsoft.com/office/2006/documentManagement/types"/>
    <ds:schemaRef ds:uri="04ec5a1a-e29c-407e-9660-cb4eaaff03ab"/>
    <ds:schemaRef ds:uri="http://schemas.microsoft.com/office/2006/metadata/properties"/>
    <ds:schemaRef ds:uri="98587d8b-32ff-4694-8d3a-6f66eb643b0d"/>
    <ds:schemaRef ds:uri="http://www.w3.org/XML/1998/namespace"/>
    <ds:schemaRef ds:uri="http://schemas.openxmlformats.org/package/2006/metadata/core-properties"/>
    <ds:schemaRef ds:uri="http://purl.org/dc/elements/1.1/"/>
    <ds:schemaRef ds:uri="http://purl.org/dc/terms/"/>
    <ds:schemaRef ds:uri="http://schemas.microsoft.com/office/infopath/2007/PartnerControl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Copyright</vt:lpstr>
      <vt:lpstr>Q1</vt:lpstr>
      <vt:lpstr>A1</vt:lpstr>
      <vt:lpstr>Q2</vt:lpstr>
      <vt:lpstr>A2</vt:lpstr>
      <vt:lpstr>Q3</vt:lpstr>
      <vt:lpstr>A3</vt:lpstr>
      <vt:lpstr>Q4</vt:lpstr>
      <vt:lpstr>A4</vt:lpstr>
      <vt:lpstr>Q5</vt:lpstr>
      <vt:lpstr>A5</vt:lpstr>
      <vt:lpstr>Q6</vt:lpstr>
      <vt:lpstr>A6</vt:lpstr>
      <vt:lpstr>Q7</vt:lpstr>
      <vt:lpstr>A7</vt:lpstr>
      <vt:lpstr>Q8</vt:lpstr>
      <vt:lpstr>A8</vt:lpstr>
      <vt:lpstr>More Resources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Mynda Treacy</dc:creator>
  <cp:keywords/>
  <dc:description/>
  <cp:lastModifiedBy>User</cp:lastModifiedBy>
  <cp:revision/>
  <dcterms:created xsi:type="dcterms:W3CDTF">2019-12-23T04:48:23Z</dcterms:created>
  <dcterms:modified xsi:type="dcterms:W3CDTF">2026-10-17T21:29:13Z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0x01010076A9E49C56486844AEA3493470A3BA7F</vt:lpwstr>
  </property>
</Properties>
</file>