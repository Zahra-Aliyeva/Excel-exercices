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0AEFD1-A0BD-4446-A016-977E86C75958}" xr6:coauthVersionLast="47" xr6:coauthVersionMax="47" xr10:uidLastSave="{00000000-0000-0000-0000-000000000000}"/>
  <bookViews>
    <workbookView xWindow="-108" yWindow="-108" windowWidth="23256" windowHeight="12456" xr2:uid="{80BCE5D6-05BA-A64D-BB75-DAE265A989EF}"/>
  </bookViews>
  <sheets>
    <sheet name="Vlookup" sheetId="1" r:id="rId1"/>
    <sheet name="Hlookup" sheetId="4" r:id="rId2"/>
    <sheet name="Xlookup" sheetId="5" r:id="rId3"/>
    <sheet name="Xlookup 2" sheetId="12" r:id="rId4"/>
    <sheet name="Xlookup 3" sheetId="6" r:id="rId5"/>
    <sheet name="Xlookup 4" sheetId="11" r:id="rId6"/>
    <sheet name="Xlookup 5" sheetId="9" r:id="rId7"/>
    <sheet name="SumFilter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0" l="1" a="1"/>
  <c r="J4" i="9"/>
  <c r="J3" i="9" a="1"/>
  <c r="I3" i="11"/>
  <c r="L3" i="6"/>
  <c r="K3" i="6"/>
  <c r="J3" i="6"/>
  <c r="I3" i="6"/>
  <c r="I8" i="5"/>
  <c r="I4" i="5"/>
  <c r="E9" i="4"/>
  <c r="D9" i="4"/>
  <c r="C9" i="4"/>
  <c r="I4" i="1"/>
  <c r="I5" i="1"/>
  <c r="I3" i="1"/>
  <c r="I4" i="12"/>
  <c r="I8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B4" i="12"/>
  <c r="B5" i="12" s="1"/>
  <c r="E3" i="12"/>
  <c r="F14" i="11"/>
  <c r="F13" i="11"/>
  <c r="F12" i="11"/>
  <c r="F11" i="11"/>
  <c r="F10" i="11"/>
  <c r="F9" i="11"/>
  <c r="F8" i="11"/>
  <c r="F7" i="11"/>
  <c r="F6" i="11"/>
  <c r="F5" i="11"/>
  <c r="F4" i="1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F3" i="11"/>
  <c r="J4" i="10" a="1"/>
  <c r="E3" i="10"/>
  <c r="F3" i="10" s="1"/>
  <c r="E3" i="9"/>
  <c r="F3" i="9" s="1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C4" i="6"/>
  <c r="C5" i="6" s="1"/>
  <c r="C6" i="6" s="1"/>
  <c r="F3" i="6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E3" i="5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B6" i="12" l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C7" i="6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<sst xmlns="http://schemas.openxmlformats.org/spreadsheetml/2006/main" count="252" uniqueCount="49">
  <si>
    <t xml:space="preserve"> </t>
  </si>
  <si>
    <t>Salesperson</t>
  </si>
  <si>
    <t>Date</t>
  </si>
  <si>
    <t>ID Number</t>
  </si>
  <si>
    <t>Commission</t>
  </si>
  <si>
    <t>Sale Amount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</si>
  <si>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</si>
  <si>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</si>
  <si>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</si>
  <si>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</si>
  <si>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</si>
  <si>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</si>
  <si>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</si>
  <si>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</si>
  <si>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</si>
  <si>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</si>
  <si>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</si>
  <si>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</si>
  <si>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</si>
  <si>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</si>
  <si>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</si>
  <si>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</si>
  <si>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</si>
  <si>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</si>
  <si>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</si>
  <si>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</si>
  <si>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</si>
  <si>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</si>
  <si>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Vlookup</t>
  </si>
  <si>
    <t>Xlookup</t>
  </si>
  <si>
    <t>Commissions by Salesperson</t>
  </si>
  <si>
    <t>Figures in USD</t>
  </si>
  <si>
    <t>Year</t>
  </si>
  <si>
    <t>Sum &amp; Filter</t>
  </si>
  <si>
    <t>Nike Inc.</t>
  </si>
  <si>
    <t>Coca-Cola Inc.</t>
  </si>
  <si>
    <t>Amazon UK</t>
  </si>
  <si>
    <t>Apple EMEA</t>
  </si>
  <si>
    <t>XYZ Limited</t>
  </si>
  <si>
    <t>Pepsi Co</t>
  </si>
  <si>
    <t>Adobe Inc</t>
  </si>
  <si>
    <t>Zara Fashion</t>
  </si>
  <si>
    <t>H&amp;M International</t>
  </si>
  <si>
    <t>Name</t>
  </si>
  <si>
    <t>Company</t>
  </si>
  <si>
    <t>Ralph Lauren Int.</t>
  </si>
  <si>
    <t>Adidas Co.</t>
  </si>
  <si>
    <t>P&amp;G Global</t>
  </si>
  <si>
    <t>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</si>
</sst>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"/>
    <numFmt numFmtId="165" formatCode="[$$-409]#,##0.00"/>
    <numFmt numFmtId="166" formatCode="&quot;$&quot;#,##0.00"/>
    <numFmt numFmtId="167" formatCode="&quot;$&quot;#,##0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22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5" fillId="0" borderId="0" xfId="0" applyFont="1"/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4" applyNumberFormat="1" applyFont="1"/>
    <xf numFmtId="164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2" fillId="2" borderId="0" xfId="0" applyFont="1" applyFill="1" applyAlignment="1">
      <alignment horizontal="center"/>
    </xf>
  </cellXfs>
  <cellStyles count="5">
    <cellStyle name="Currency" xfId="4" builtinId="4"/>
    <cellStyle name="Hyperlink 2" xfId="2" xr:uid="{11F41662-0E2E-4AB9-91A2-F5929DCBE64E}"/>
    <cellStyle name="Hyperlink 2 2" xfId="3" xr:uid="{5601191D-D5C2-43F3-8DC0-32B8C6D77415}"/>
    <cellStyle name="Normal" xfId="0" builtinId="0"/>
    <cellStyle name="Normal 2" xfId="1" xr:uid="{D5DBC2B4-0E86-41B0-BA22-02A84FEF6138}"/>
  </cellStyles>
  <dxfs count="0"/>
  <tableStyles count="0" defaultTableStyle="TableStyleMedium2" defaultPivotStyle="PivotStyleLight16"/>
  <colors>
    <mruColors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46BD-2B65-1545-929B-D6467C3CBAF5}">
  <dimension ref="A1:I27"/>
  <sheetViews>
    <sheetView showGridLines="0" tabSelected="1" zoomScale="99" workbookViewId="0">
      <selection activeCell="I7" sqref="I7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9" max="9" width="11.19921875" bestFit="1" customWidth="1"/>
  </cols>
  <sheetData>
    <row r="1" spans="1:9" x14ac:dyDescent="0.3">
      <c r="A1" t="s">
        <v>0</v>
      </c>
    </row>
    <row r="2" spans="1:9" x14ac:dyDescent="0.3">
      <c r="B2" s="8" t="s">
        <v>1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1</v>
      </c>
      <c r="I2" s="8" t="s">
        <v>4</v>
      </c>
    </row>
    <row r="3" spans="1:9" x14ac:dyDescent="0.3">
      <c r="B3" t="s">
        <v>19</v>
      </c>
      <c r="C3" s="1">
        <v>124300</v>
      </c>
      <c r="D3" s="3">
        <v>44754</v>
      </c>
      <c r="E3" s="2">
        <v>5436.33</v>
      </c>
      <c r="F3" s="2">
        <f>E3*0.2</f>
        <v>1087.2660000000001</v>
      </c>
      <c r="H3" t="s">
        <v>20</v>
      </c>
      <c r="I3" s="2">
        <f>VLOOKUP(H3,B3:F24,5,TRUE)</f>
        <v>1239.48324</v>
      </c>
    </row>
    <row r="4" spans="1:9" x14ac:dyDescent="0.3">
      <c r="B4" t="s">
        <v>20</v>
      </c>
      <c r="C4" s="1">
        <f>C3*1.2</f>
        <v>149160</v>
      </c>
      <c r="D4" s="3">
        <v>44751</v>
      </c>
      <c r="E4" s="2">
        <v>6197.4161999999997</v>
      </c>
      <c r="F4" s="2">
        <f t="shared" ref="F4:F24" si="0">E4*0.2</f>
        <v>1239.48324</v>
      </c>
      <c r="I4" s="16">
        <f>_xlfn.XLOOKUP(H3,B3:B24,F3:F24,,0)</f>
        <v>1239.48324</v>
      </c>
    </row>
    <row r="5" spans="1:9" x14ac:dyDescent="0.3">
      <c r="B5" t="s">
        <v>21</v>
      </c>
      <c r="C5" s="1">
        <f>C4*1.02</f>
        <v>152143.20000000001</v>
      </c>
      <c r="D5" s="3">
        <v>44753</v>
      </c>
      <c r="E5" s="2">
        <v>7065.0544679999994</v>
      </c>
      <c r="F5" s="2">
        <f t="shared" si="0"/>
        <v>1413.0108935999999</v>
      </c>
      <c r="I5" s="17">
        <f>INDEX(F3:F24,MATCH(H3,B3:B24,0))</f>
        <v>1239.48324</v>
      </c>
    </row>
    <row r="6" spans="1:9" x14ac:dyDescent="0.3">
      <c r="B6" t="s">
        <v>22</v>
      </c>
      <c r="C6" s="1">
        <f>C5*0.8</f>
        <v>121714.56000000001</v>
      </c>
      <c r="D6" s="3">
        <v>44748</v>
      </c>
      <c r="E6" s="2">
        <v>8054.1620935199981</v>
      </c>
      <c r="F6" s="2">
        <f t="shared" si="0"/>
        <v>1610.8324187039998</v>
      </c>
    </row>
    <row r="7" spans="1:9" x14ac:dyDescent="0.3">
      <c r="B7" t="s">
        <v>23</v>
      </c>
      <c r="C7" s="1">
        <f>C6*0.9</f>
        <v>109543.10400000001</v>
      </c>
      <c r="D7" s="3">
        <v>44752</v>
      </c>
      <c r="E7" s="2">
        <v>9181.7447866127968</v>
      </c>
      <c r="F7" s="2">
        <f t="shared" si="0"/>
        <v>1836.3489573225595</v>
      </c>
    </row>
    <row r="8" spans="1:9" x14ac:dyDescent="0.3">
      <c r="B8" t="s">
        <v>24</v>
      </c>
      <c r="C8" s="1">
        <f>C7*1.1</f>
        <v>120497.41440000002</v>
      </c>
      <c r="D8" s="3">
        <v>44755</v>
      </c>
      <c r="E8" s="2">
        <v>10467.189056738587</v>
      </c>
      <c r="F8" s="2">
        <f t="shared" si="0"/>
        <v>2093.4378113477173</v>
      </c>
    </row>
    <row r="9" spans="1:9" x14ac:dyDescent="0.3">
      <c r="B9" t="s">
        <v>25</v>
      </c>
      <c r="C9" s="1">
        <f>C8*1.02</f>
        <v>122907.36268800002</v>
      </c>
      <c r="D9" s="3">
        <v>44757</v>
      </c>
      <c r="E9" s="2">
        <v>2446.3485000000001</v>
      </c>
      <c r="F9" s="2">
        <f t="shared" si="0"/>
        <v>489.26970000000006</v>
      </c>
    </row>
    <row r="10" spans="1:9" x14ac:dyDescent="0.3">
      <c r="B10" t="s">
        <v>26</v>
      </c>
      <c r="C10" s="1">
        <f>C9*0.8</f>
        <v>98325.890150400024</v>
      </c>
      <c r="D10" s="3">
        <v>44754</v>
      </c>
      <c r="E10" s="2">
        <v>2690.9833500000004</v>
      </c>
      <c r="F10" s="2">
        <f t="shared" si="0"/>
        <v>538.19667000000015</v>
      </c>
    </row>
    <row r="11" spans="1:9" x14ac:dyDescent="0.3">
      <c r="B11" t="s">
        <v>27</v>
      </c>
      <c r="C11" s="1">
        <f>C10*0.9</f>
        <v>88493.30113536003</v>
      </c>
      <c r="D11" s="3">
        <v>44756</v>
      </c>
      <c r="E11" s="2">
        <v>2960.0816850000001</v>
      </c>
      <c r="F11" s="2">
        <f t="shared" si="0"/>
        <v>592.01633700000002</v>
      </c>
    </row>
    <row r="12" spans="1:9" x14ac:dyDescent="0.3">
      <c r="B12" t="s">
        <v>6</v>
      </c>
      <c r="C12" s="1">
        <f>C11*1.1</f>
        <v>97342.631248896039</v>
      </c>
      <c r="D12" s="3">
        <v>44751</v>
      </c>
      <c r="E12" s="2">
        <v>3256.0898535000001</v>
      </c>
      <c r="F12" s="2">
        <f t="shared" si="0"/>
        <v>651.21797070000002</v>
      </c>
    </row>
    <row r="13" spans="1:9" x14ac:dyDescent="0.3">
      <c r="B13" t="s">
        <v>7</v>
      </c>
      <c r="C13" s="1">
        <f>C12*1.02</f>
        <v>99289.483873873964</v>
      </c>
      <c r="D13" s="3">
        <v>44755</v>
      </c>
      <c r="E13" s="2">
        <v>3581.6988388500008</v>
      </c>
      <c r="F13" s="2">
        <f t="shared" si="0"/>
        <v>716.33976777000021</v>
      </c>
    </row>
    <row r="14" spans="1:9" x14ac:dyDescent="0.3">
      <c r="B14" t="s">
        <v>8</v>
      </c>
      <c r="C14" s="1">
        <f>C13*0.8</f>
        <v>79431.587099099183</v>
      </c>
      <c r="D14" s="3">
        <v>44758</v>
      </c>
      <c r="E14" s="2">
        <v>3939.8687227350015</v>
      </c>
      <c r="F14" s="2">
        <f t="shared" si="0"/>
        <v>787.97374454700036</v>
      </c>
    </row>
    <row r="15" spans="1:9" x14ac:dyDescent="0.3">
      <c r="B15" t="s">
        <v>9</v>
      </c>
      <c r="C15" s="1">
        <f>C14*0.9</f>
        <v>71488.42838918927</v>
      </c>
      <c r="D15" s="3">
        <v>44760</v>
      </c>
      <c r="E15" s="2">
        <v>4333.855595008502</v>
      </c>
      <c r="F15" s="2">
        <f t="shared" si="0"/>
        <v>866.77111900170041</v>
      </c>
    </row>
    <row r="16" spans="1:9" x14ac:dyDescent="0.3">
      <c r="B16" t="s">
        <v>10</v>
      </c>
      <c r="C16" s="1">
        <f>C15*1.1</f>
        <v>78637.271228108206</v>
      </c>
      <c r="D16" s="3">
        <v>44757</v>
      </c>
      <c r="E16" s="2">
        <v>4767.2411545093528</v>
      </c>
      <c r="F16" s="2">
        <f t="shared" si="0"/>
        <v>953.4482309018706</v>
      </c>
    </row>
    <row r="17" spans="2:6" x14ac:dyDescent="0.3">
      <c r="B17" t="s">
        <v>11</v>
      </c>
      <c r="C17" s="1">
        <f>C16*1.02</f>
        <v>80210.016652670369</v>
      </c>
      <c r="D17" s="3">
        <v>44759</v>
      </c>
      <c r="E17" s="2">
        <v>5243.9652699602884</v>
      </c>
      <c r="F17" s="2">
        <f t="shared" si="0"/>
        <v>1048.7930539920578</v>
      </c>
    </row>
    <row r="18" spans="2:6" x14ac:dyDescent="0.3">
      <c r="B18" t="s">
        <v>12</v>
      </c>
      <c r="C18" s="1">
        <f>C17*0.8</f>
        <v>64168.013322136299</v>
      </c>
      <c r="D18" s="3">
        <v>44754</v>
      </c>
      <c r="E18" s="2">
        <v>5768.3617969563174</v>
      </c>
      <c r="F18" s="2">
        <f t="shared" si="0"/>
        <v>1153.6723593912636</v>
      </c>
    </row>
    <row r="19" spans="2:6" x14ac:dyDescent="0.3">
      <c r="B19" t="s">
        <v>13</v>
      </c>
      <c r="C19" s="1">
        <f>C18*0.9</f>
        <v>57751.211989922667</v>
      </c>
      <c r="D19" s="3">
        <v>44758</v>
      </c>
      <c r="E19" s="2">
        <v>5191.525617260686</v>
      </c>
      <c r="F19" s="2">
        <f t="shared" si="0"/>
        <v>1038.3051234521372</v>
      </c>
    </row>
    <row r="20" spans="2:6" x14ac:dyDescent="0.3">
      <c r="B20" t="s">
        <v>14</v>
      </c>
      <c r="C20" s="1">
        <f>C19*1.1</f>
        <v>63526.333188914941</v>
      </c>
      <c r="D20" s="3">
        <v>44761</v>
      </c>
      <c r="E20" s="2">
        <v>6748.9833024388909</v>
      </c>
      <c r="F20" s="2">
        <f t="shared" si="0"/>
        <v>1349.7966604877784</v>
      </c>
    </row>
    <row r="21" spans="2:6" x14ac:dyDescent="0.3">
      <c r="B21" t="s">
        <v>15</v>
      </c>
      <c r="C21" s="1">
        <f>C20*1.02</f>
        <v>64796.85985269324</v>
      </c>
      <c r="D21" s="3">
        <v>44763</v>
      </c>
      <c r="E21" s="2">
        <v>8773.6782931705584</v>
      </c>
      <c r="F21" s="2">
        <f t="shared" si="0"/>
        <v>1754.7356586341118</v>
      </c>
    </row>
    <row r="22" spans="2:6" x14ac:dyDescent="0.3">
      <c r="B22" t="s">
        <v>16</v>
      </c>
      <c r="C22" s="1">
        <f>C21*0.8</f>
        <v>51837.487882154594</v>
      </c>
      <c r="D22" s="3">
        <v>44760</v>
      </c>
      <c r="E22" s="2">
        <v>11405.781781121728</v>
      </c>
      <c r="F22" s="2">
        <f t="shared" si="0"/>
        <v>2281.1563562243459</v>
      </c>
    </row>
    <row r="23" spans="2:6" x14ac:dyDescent="0.3">
      <c r="B23" t="s">
        <v>17</v>
      </c>
      <c r="C23" s="1">
        <f>C22*0.9</f>
        <v>46653.739093939133</v>
      </c>
      <c r="D23" s="3">
        <v>44762</v>
      </c>
      <c r="E23" s="2">
        <v>6650</v>
      </c>
      <c r="F23" s="2">
        <f t="shared" si="0"/>
        <v>1330</v>
      </c>
    </row>
    <row r="24" spans="2:6" x14ac:dyDescent="0.3">
      <c r="B24" t="s">
        <v>18</v>
      </c>
      <c r="C24" s="1">
        <f>C23*1.1</f>
        <v>51319.113003333048</v>
      </c>
      <c r="D24" s="3">
        <v>44757</v>
      </c>
      <c r="E24" s="2">
        <v>7341</v>
      </c>
      <c r="F24" s="2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1C43-9A63-1645-8D7E-9A5967365BDE}">
  <dimension ref="B2:X9"/>
  <sheetViews>
    <sheetView showGridLines="0" workbookViewId="0">
      <selection activeCell="E10" sqref="E10"/>
    </sheetView>
  </sheetViews>
  <sheetFormatPr defaultColWidth="10.59765625" defaultRowHeight="15.6" x14ac:dyDescent="0.3"/>
  <cols>
    <col min="2" max="2" width="11.59765625" bestFit="1" customWidth="1"/>
  </cols>
  <sheetData>
    <row r="2" spans="2:24" x14ac:dyDescent="0.3">
      <c r="B2" s="9" t="s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</row>
    <row r="3" spans="2:24" x14ac:dyDescent="0.3">
      <c r="B3" s="9" t="s">
        <v>3</v>
      </c>
      <c r="C3" s="1">
        <v>124300</v>
      </c>
      <c r="D3" s="1">
        <v>149160</v>
      </c>
      <c r="E3" s="1">
        <v>152143.20000000001</v>
      </c>
      <c r="F3" s="1">
        <v>121714.56000000001</v>
      </c>
      <c r="G3" s="1">
        <v>109543.10400000001</v>
      </c>
      <c r="H3" s="1">
        <v>120497.41440000002</v>
      </c>
      <c r="I3" s="1">
        <v>122907.36268800002</v>
      </c>
      <c r="J3" s="1">
        <v>98325.890150400024</v>
      </c>
      <c r="K3" s="1">
        <v>88493.30113536003</v>
      </c>
      <c r="L3" s="1">
        <v>97342.631248896039</v>
      </c>
      <c r="M3" s="1">
        <v>99289.483873873964</v>
      </c>
      <c r="N3" s="1">
        <v>79431.587099099183</v>
      </c>
      <c r="O3" s="1">
        <v>71488.42838918927</v>
      </c>
      <c r="P3" s="1">
        <v>78637.271228108206</v>
      </c>
      <c r="Q3" s="1">
        <v>80210.016652670369</v>
      </c>
      <c r="R3" s="1">
        <v>64168.013322136299</v>
      </c>
      <c r="S3" s="1">
        <v>57751.211989922667</v>
      </c>
      <c r="T3" s="1">
        <v>63526.333188914941</v>
      </c>
      <c r="U3" s="1">
        <v>64796.85985269324</v>
      </c>
      <c r="V3" s="1">
        <v>51837.487882154594</v>
      </c>
      <c r="W3" s="1">
        <v>46653.739093939133</v>
      </c>
      <c r="X3" s="1">
        <v>51319.113003333048</v>
      </c>
    </row>
    <row r="4" spans="2:24" x14ac:dyDescent="0.3">
      <c r="B4" s="9" t="s">
        <v>2</v>
      </c>
      <c r="C4" s="3">
        <v>44754</v>
      </c>
      <c r="D4" s="3">
        <v>44751</v>
      </c>
      <c r="E4" s="3">
        <v>44753</v>
      </c>
      <c r="F4" s="3">
        <v>44748</v>
      </c>
      <c r="G4" s="3">
        <v>44752</v>
      </c>
      <c r="H4" s="3">
        <v>44755</v>
      </c>
      <c r="I4" s="3">
        <v>44757</v>
      </c>
      <c r="J4" s="3">
        <v>44754</v>
      </c>
      <c r="K4" s="3">
        <v>44756</v>
      </c>
      <c r="L4" s="3">
        <v>44751</v>
      </c>
      <c r="M4" s="3">
        <v>44755</v>
      </c>
      <c r="N4" s="3">
        <v>44758</v>
      </c>
      <c r="O4" s="3">
        <v>44760</v>
      </c>
      <c r="P4" s="3">
        <v>44757</v>
      </c>
      <c r="Q4" s="3">
        <v>44759</v>
      </c>
      <c r="R4" s="3">
        <v>44754</v>
      </c>
      <c r="S4" s="3">
        <v>44758</v>
      </c>
      <c r="T4" s="3">
        <v>44761</v>
      </c>
      <c r="U4" s="3">
        <v>44763</v>
      </c>
      <c r="V4" s="3">
        <v>44760</v>
      </c>
      <c r="W4" s="3">
        <v>44762</v>
      </c>
      <c r="X4" s="3">
        <v>44757</v>
      </c>
    </row>
    <row r="5" spans="2:24" x14ac:dyDescent="0.3">
      <c r="B5" s="9" t="s">
        <v>5</v>
      </c>
      <c r="C5" s="2">
        <v>5436.33</v>
      </c>
      <c r="D5" s="2">
        <v>6197.4161999999997</v>
      </c>
      <c r="E5" s="2">
        <v>7065.0544679999994</v>
      </c>
      <c r="F5" s="2">
        <v>8054.1620935199981</v>
      </c>
      <c r="G5" s="2">
        <v>9181.7447866127968</v>
      </c>
      <c r="H5" s="2">
        <v>10467.189056738587</v>
      </c>
      <c r="I5" s="2">
        <v>2446.3485000000001</v>
      </c>
      <c r="J5" s="2">
        <v>2690.9833500000004</v>
      </c>
      <c r="K5" s="2">
        <v>2960.0816850000001</v>
      </c>
      <c r="L5" s="2">
        <v>3256.0898535000001</v>
      </c>
      <c r="M5" s="2">
        <v>3581.6988388500008</v>
      </c>
      <c r="N5" s="2">
        <v>3939.8687227350015</v>
      </c>
      <c r="O5" s="2">
        <v>4333.855595008502</v>
      </c>
      <c r="P5" s="2">
        <v>4767.2411545093528</v>
      </c>
      <c r="Q5" s="2">
        <v>5243.9652699602884</v>
      </c>
      <c r="R5" s="2">
        <v>5768.3617969563174</v>
      </c>
      <c r="S5" s="2">
        <v>5191.525617260686</v>
      </c>
      <c r="T5" s="2">
        <v>6748.9833024388909</v>
      </c>
      <c r="U5" s="2">
        <v>8773.6782931705584</v>
      </c>
      <c r="V5" s="2">
        <v>11405.781781121728</v>
      </c>
      <c r="W5" s="2">
        <v>6650</v>
      </c>
      <c r="X5" s="2">
        <v>7341</v>
      </c>
    </row>
    <row r="6" spans="2:24" x14ac:dyDescent="0.3">
      <c r="B6" s="9" t="s">
        <v>4</v>
      </c>
      <c r="C6" s="2">
        <v>1087.2660000000001</v>
      </c>
      <c r="D6" s="2">
        <v>1239.48324</v>
      </c>
      <c r="E6" s="2">
        <v>1413.0108935999999</v>
      </c>
      <c r="F6" s="2">
        <v>1610.8324187039998</v>
      </c>
      <c r="G6" s="2">
        <v>1836.3489573225595</v>
      </c>
      <c r="H6" s="2">
        <v>2093.4378113477173</v>
      </c>
      <c r="I6" s="2">
        <v>489.26970000000006</v>
      </c>
      <c r="J6" s="2">
        <v>538.19667000000015</v>
      </c>
      <c r="K6" s="2">
        <v>592.01633700000002</v>
      </c>
      <c r="L6" s="2">
        <v>651.21797070000002</v>
      </c>
      <c r="M6" s="2">
        <v>716.33976777000021</v>
      </c>
      <c r="N6" s="2">
        <v>787.97374454700036</v>
      </c>
      <c r="O6" s="2">
        <v>866.77111900170041</v>
      </c>
      <c r="P6" s="2">
        <v>953.4482309018706</v>
      </c>
      <c r="Q6" s="2">
        <v>1048.7930539920578</v>
      </c>
      <c r="R6" s="2">
        <v>1153.6723593912636</v>
      </c>
      <c r="S6" s="2">
        <v>1038.3051234521372</v>
      </c>
      <c r="T6" s="2">
        <v>1349.7966604877784</v>
      </c>
      <c r="U6" s="2">
        <v>1754.7356586341118</v>
      </c>
      <c r="V6" s="2">
        <v>2281.1563562243459</v>
      </c>
      <c r="W6" s="2">
        <v>1330</v>
      </c>
      <c r="X6" s="2">
        <v>1468.2</v>
      </c>
    </row>
    <row r="8" spans="2:24" x14ac:dyDescent="0.3">
      <c r="B8" s="9" t="s">
        <v>1</v>
      </c>
      <c r="C8" s="9" t="s">
        <v>4</v>
      </c>
    </row>
    <row r="9" spans="2:24" x14ac:dyDescent="0.3">
      <c r="B9" t="s">
        <v>20</v>
      </c>
      <c r="C9" s="2">
        <f>HLOOKUP(B9,C2:X6,5,FALSE)</f>
        <v>1239.48324</v>
      </c>
      <c r="D9" s="16">
        <f>_xlfn.XLOOKUP(B9,C2:X2,C6:X6,,0)</f>
        <v>1239.48324</v>
      </c>
      <c r="E9" s="16">
        <f>INDEX(C6:X6,MATCH(B9,C2:X2,0))</f>
        <v>1239.48324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0D3-CD43-BD43-A41E-8D2C887045CD}">
  <dimension ref="A1:I27"/>
  <sheetViews>
    <sheetView showGridLines="0" workbookViewId="0">
      <selection activeCell="XFD1048576" sqref="XFD1048576"/>
    </sheetView>
  </sheetViews>
  <sheetFormatPr defaultColWidth="10.59765625" defaultRowHeight="15.6" x14ac:dyDescent="0.3"/>
  <cols>
    <col min="4" max="4" width="11.59765625" bestFit="1" customWidth="1"/>
    <col min="5" max="5" width="11.09765625" bestFit="1" customWidth="1"/>
    <col min="6" max="6" width="15.5" bestFit="1" customWidth="1"/>
    <col min="7" max="7" width="6.8984375" customWidth="1"/>
    <col min="9" max="9" width="12.3984375" bestFit="1" customWidth="1"/>
    <col min="10" max="10" width="8.09765625" customWidth="1"/>
  </cols>
  <sheetData>
    <row r="1" spans="1:9" x14ac:dyDescent="0.3">
      <c r="A1" t="s">
        <v>0</v>
      </c>
    </row>
    <row r="2" spans="1:9" x14ac:dyDescent="0.3">
      <c r="B2" s="8" t="s">
        <v>3</v>
      </c>
      <c r="C2" s="8" t="s">
        <v>2</v>
      </c>
      <c r="D2" s="8" t="s">
        <v>5</v>
      </c>
      <c r="E2" s="8" t="s">
        <v>4</v>
      </c>
      <c r="F2" s="8" t="s">
        <v>1</v>
      </c>
      <c r="H2" s="21" t="s">
        <v>28</v>
      </c>
      <c r="I2" s="21"/>
    </row>
    <row r="3" spans="1:9" x14ac:dyDescent="0.3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19</v>
      </c>
      <c r="H3" s="5" t="s">
        <v>1</v>
      </c>
      <c r="I3" s="5" t="s">
        <v>4</v>
      </c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20</v>
      </c>
      <c r="H4" t="s">
        <v>20</v>
      </c>
      <c r="I4" s="2" t="e">
        <f>VLOOKUP(H4,B3:F24,-1,FALSE)</f>
        <v>#N/A</v>
      </c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21</v>
      </c>
    </row>
    <row r="6" spans="1:9" x14ac:dyDescent="0.3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22</v>
      </c>
      <c r="H6" s="21" t="s">
        <v>29</v>
      </c>
      <c r="I6" s="21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23</v>
      </c>
      <c r="H7" s="5" t="s">
        <v>1</v>
      </c>
      <c r="I7" s="5" t="s">
        <v>4</v>
      </c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24</v>
      </c>
      <c r="H8" t="s">
        <v>20</v>
      </c>
      <c r="I8" s="2">
        <f>_xlfn.XLOOKUP(H8,F3:F24,E3:E24,"Not on the list",0)</f>
        <v>1239.48324</v>
      </c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25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26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27</v>
      </c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6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7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8</v>
      </c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9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10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11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12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13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14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15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16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17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18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7F9C-C01C-604D-A964-3A6C9DDAF7A5}">
  <dimension ref="A1:I27"/>
  <sheetViews>
    <sheetView showGridLines="0" workbookViewId="0">
      <selection activeCell="I7" sqref="I7"/>
    </sheetView>
  </sheetViews>
  <sheetFormatPr defaultColWidth="10.59765625" defaultRowHeight="15.6" x14ac:dyDescent="0.3"/>
  <cols>
    <col min="4" max="4" width="11.59765625" bestFit="1" customWidth="1"/>
    <col min="5" max="5" width="11.09765625" bestFit="1" customWidth="1"/>
    <col min="6" max="6" width="15.5" bestFit="1" customWidth="1"/>
    <col min="7" max="7" width="6.8984375" customWidth="1"/>
    <col min="9" max="9" width="12.3984375" bestFit="1" customWidth="1"/>
    <col min="10" max="10" width="8.09765625" customWidth="1"/>
  </cols>
  <sheetData>
    <row r="1" spans="1:9" x14ac:dyDescent="0.3">
      <c r="A1" t="s">
        <v>0</v>
      </c>
    </row>
    <row r="2" spans="1:9" x14ac:dyDescent="0.3">
      <c r="B2" s="8" t="s">
        <v>3</v>
      </c>
      <c r="C2" s="8" t="s">
        <v>2</v>
      </c>
      <c r="D2" s="8" t="s">
        <v>5</v>
      </c>
      <c r="E2" s="8" t="s">
        <v>4</v>
      </c>
      <c r="F2" s="8" t="s">
        <v>1</v>
      </c>
      <c r="H2" s="21" t="s">
        <v>28</v>
      </c>
      <c r="I2" s="21"/>
    </row>
    <row r="3" spans="1:9" x14ac:dyDescent="0.3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19</v>
      </c>
      <c r="H3" s="5" t="s">
        <v>1</v>
      </c>
      <c r="I3" s="5" t="s">
        <v>4</v>
      </c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20</v>
      </c>
      <c r="H4" t="s">
        <v>20</v>
      </c>
      <c r="I4" s="2" t="e">
        <f>VLOOKUP(H4,B3:F24,-1,FALSE)</f>
        <v>#N/A</v>
      </c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21</v>
      </c>
    </row>
    <row r="6" spans="1:9" x14ac:dyDescent="0.3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22</v>
      </c>
      <c r="H6" s="21" t="s">
        <v>29</v>
      </c>
      <c r="I6" s="21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23</v>
      </c>
      <c r="H7" s="5" t="s">
        <v>1</v>
      </c>
      <c r="I7" s="5" t="s">
        <v>4</v>
      </c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24</v>
      </c>
      <c r="H8" t="s">
        <v>20</v>
      </c>
      <c r="I8" s="2">
        <f>_xlfn.XLOOKUP(H8,F3:F24,E3:E24,)</f>
        <v>1239.48324</v>
      </c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25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26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27</v>
      </c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6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7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8</v>
      </c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9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10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11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12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13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14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15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16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17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18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C7B8-F9A1-144F-8C53-E5CA76ABA69D}">
  <dimension ref="A1:L27"/>
  <sheetViews>
    <sheetView showGridLines="0" workbookViewId="0">
      <selection activeCell="L4" sqref="L4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11.09765625" bestFit="1" customWidth="1"/>
  </cols>
  <sheetData>
    <row r="1" spans="1:12" x14ac:dyDescent="0.3">
      <c r="A1" t="s">
        <v>0</v>
      </c>
    </row>
    <row r="2" spans="1:12" x14ac:dyDescent="0.3">
      <c r="B2" s="8" t="s">
        <v>1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1</v>
      </c>
      <c r="I2" s="8" t="s">
        <v>5</v>
      </c>
      <c r="J2" s="8" t="s">
        <v>4</v>
      </c>
      <c r="K2" s="8" t="s">
        <v>5</v>
      </c>
      <c r="L2" s="8" t="s">
        <v>4</v>
      </c>
    </row>
    <row r="3" spans="1:12" x14ac:dyDescent="0.3">
      <c r="B3" t="s">
        <v>19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t="s">
        <v>20</v>
      </c>
      <c r="I3" s="2">
        <f>_xlfn.XLOOKUP(H3,B3:B24,E3:E24,"Not on the list",0)</f>
        <v>6197.4161999999997</v>
      </c>
      <c r="J3" s="2">
        <f>_xlfn.XLOOKUP(H3,B3:B24,F3:F24,"Not on the list",0)</f>
        <v>1239.48324</v>
      </c>
      <c r="K3" s="16">
        <f>INDEX(E3:E24,MATCH(H3,B3:B24,0))</f>
        <v>6197.4161999999997</v>
      </c>
      <c r="L3" s="16">
        <f>INDEX(F3:F24,MATCH(H3,B3:B24,0))</f>
        <v>1239.48324</v>
      </c>
    </row>
    <row r="4" spans="1:12" x14ac:dyDescent="0.3">
      <c r="B4" t="s">
        <v>20</v>
      </c>
      <c r="C4" s="6">
        <f>C3*1.2</f>
        <v>149160</v>
      </c>
      <c r="D4" s="7">
        <v>44751</v>
      </c>
      <c r="E4" s="10">
        <v>6197.4161999999997</v>
      </c>
      <c r="F4" s="10">
        <f t="shared" ref="F4:F24" si="0">E4*0.2</f>
        <v>1239.48324</v>
      </c>
    </row>
    <row r="5" spans="1:12" x14ac:dyDescent="0.3">
      <c r="B5" t="s">
        <v>21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12" x14ac:dyDescent="0.3">
      <c r="B6" t="s">
        <v>22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12" x14ac:dyDescent="0.3">
      <c r="B7" t="s">
        <v>23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12" x14ac:dyDescent="0.3">
      <c r="B8" t="s">
        <v>24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12" x14ac:dyDescent="0.3">
      <c r="B9" t="s">
        <v>25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12" x14ac:dyDescent="0.3">
      <c r="B10" t="s">
        <v>26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12" x14ac:dyDescent="0.3">
      <c r="B11" t="s">
        <v>27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12" x14ac:dyDescent="0.3">
      <c r="B12" t="s">
        <v>6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12" x14ac:dyDescent="0.3">
      <c r="B13" t="s">
        <v>7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12" x14ac:dyDescent="0.3">
      <c r="B14" t="s">
        <v>8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12" x14ac:dyDescent="0.3">
      <c r="B15" t="s">
        <v>9</v>
      </c>
      <c r="C15" s="6">
        <f>C14*0.9</f>
        <v>71488.42838918927</v>
      </c>
      <c r="D15" s="7">
        <v>44760</v>
      </c>
      <c r="E15" s="10">
        <v>4333.855595008502</v>
      </c>
      <c r="F15" s="10">
        <f t="shared" si="0"/>
        <v>866.77111900170041</v>
      </c>
    </row>
    <row r="16" spans="1:12" x14ac:dyDescent="0.3">
      <c r="B16" t="s">
        <v>10</v>
      </c>
      <c r="C16" s="6">
        <f>C15*1.1</f>
        <v>78637.271228108206</v>
      </c>
      <c r="D16" s="7">
        <v>44757</v>
      </c>
      <c r="E16" s="10">
        <v>4767.2411545093528</v>
      </c>
      <c r="F16" s="10">
        <f t="shared" si="0"/>
        <v>953.4482309018706</v>
      </c>
    </row>
    <row r="17" spans="2:6" x14ac:dyDescent="0.3">
      <c r="B17" t="s">
        <v>11</v>
      </c>
      <c r="C17" s="6">
        <f>C16*1.02</f>
        <v>80210.016652670369</v>
      </c>
      <c r="D17" s="7">
        <v>44759</v>
      </c>
      <c r="E17" s="10">
        <v>5243.9652699602884</v>
      </c>
      <c r="F17" s="10">
        <f t="shared" si="0"/>
        <v>1048.7930539920578</v>
      </c>
    </row>
    <row r="18" spans="2:6" x14ac:dyDescent="0.3">
      <c r="B18" t="s">
        <v>12</v>
      </c>
      <c r="C18" s="6">
        <f>C17*0.8</f>
        <v>64168.013322136299</v>
      </c>
      <c r="D18" s="7">
        <v>44754</v>
      </c>
      <c r="E18" s="10">
        <v>5768.3617969563174</v>
      </c>
      <c r="F18" s="10">
        <f t="shared" si="0"/>
        <v>1153.6723593912636</v>
      </c>
    </row>
    <row r="19" spans="2:6" x14ac:dyDescent="0.3">
      <c r="B19" t="s">
        <v>13</v>
      </c>
      <c r="C19" s="6">
        <f>C18*0.9</f>
        <v>57751.211989922667</v>
      </c>
      <c r="D19" s="7">
        <v>44758</v>
      </c>
      <c r="E19" s="10">
        <v>5191.525617260686</v>
      </c>
      <c r="F19" s="10">
        <f t="shared" si="0"/>
        <v>1038.3051234521372</v>
      </c>
    </row>
    <row r="20" spans="2:6" x14ac:dyDescent="0.3">
      <c r="B20" t="s">
        <v>14</v>
      </c>
      <c r="C20" s="6">
        <f>C19*1.1</f>
        <v>63526.333188914941</v>
      </c>
      <c r="D20" s="7">
        <v>44761</v>
      </c>
      <c r="E20" s="10">
        <v>6748.9833024388909</v>
      </c>
      <c r="F20" s="10">
        <f t="shared" si="0"/>
        <v>1349.7966604877784</v>
      </c>
    </row>
    <row r="21" spans="2:6" x14ac:dyDescent="0.3">
      <c r="B21" t="s">
        <v>15</v>
      </c>
      <c r="C21" s="6">
        <f>C20*1.02</f>
        <v>64796.85985269324</v>
      </c>
      <c r="D21" s="7">
        <v>44763</v>
      </c>
      <c r="E21" s="10">
        <v>8773.6782931705584</v>
      </c>
      <c r="F21" s="10">
        <f t="shared" si="0"/>
        <v>1754.7356586341118</v>
      </c>
    </row>
    <row r="22" spans="2:6" x14ac:dyDescent="0.3">
      <c r="B22" t="s">
        <v>16</v>
      </c>
      <c r="C22" s="6">
        <f>C21*0.8</f>
        <v>51837.487882154594</v>
      </c>
      <c r="D22" s="7">
        <v>44760</v>
      </c>
      <c r="E22" s="10">
        <v>11405.781781121728</v>
      </c>
      <c r="F22" s="10">
        <f t="shared" si="0"/>
        <v>2281.1563562243459</v>
      </c>
    </row>
    <row r="23" spans="2:6" x14ac:dyDescent="0.3">
      <c r="B23" t="s">
        <v>17</v>
      </c>
      <c r="C23" s="6">
        <f>C22*0.9</f>
        <v>46653.739093939133</v>
      </c>
      <c r="D23" s="7">
        <v>44762</v>
      </c>
      <c r="E23" s="10">
        <v>6650</v>
      </c>
      <c r="F23" s="10">
        <f t="shared" si="0"/>
        <v>1330</v>
      </c>
    </row>
    <row r="24" spans="2:6" x14ac:dyDescent="0.3">
      <c r="B24" t="s">
        <v>18</v>
      </c>
      <c r="C24" s="6">
        <f>C23*1.1</f>
        <v>51319.113003333048</v>
      </c>
      <c r="D24" s="7">
        <v>44757</v>
      </c>
      <c r="E24" s="10">
        <v>7341</v>
      </c>
      <c r="F24" s="10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F236-4219-9D4E-8368-65AA274AFC5E}">
  <dimension ref="A1:I24"/>
  <sheetViews>
    <sheetView showGridLines="0" workbookViewId="0">
      <selection activeCell="H1048576" sqref="H1048576"/>
    </sheetView>
  </sheetViews>
  <sheetFormatPr defaultColWidth="10.59765625" defaultRowHeight="15.6" x14ac:dyDescent="0.3"/>
  <cols>
    <col min="2" max="2" width="17.09765625" customWidth="1"/>
    <col min="5" max="5" width="11.59765625" bestFit="1" customWidth="1"/>
    <col min="6" max="6" width="11.09765625" bestFit="1" customWidth="1"/>
    <col min="7" max="7" width="6.8984375" customWidth="1"/>
    <col min="9" max="9" width="16.5" bestFit="1" customWidth="1"/>
  </cols>
  <sheetData>
    <row r="1" spans="1:9" x14ac:dyDescent="0.3">
      <c r="A1" t="s">
        <v>0</v>
      </c>
    </row>
    <row r="2" spans="1:9" x14ac:dyDescent="0.3">
      <c r="B2" s="8" t="s">
        <v>44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43</v>
      </c>
      <c r="I2" s="8" t="s">
        <v>5</v>
      </c>
    </row>
    <row r="3" spans="1:9" x14ac:dyDescent="0.3">
      <c r="B3" s="11" t="s">
        <v>35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s="4" t="s">
        <v>48</v>
      </c>
      <c r="I3" s="10">
        <f>_xlfn.XLOOKUP(H3&amp;"*",B3:B14,E3:E14,"Not on the table",2)</f>
        <v>6197.4161999999997</v>
      </c>
    </row>
    <row r="4" spans="1:9" x14ac:dyDescent="0.3">
      <c r="B4" s="11" t="s">
        <v>34</v>
      </c>
      <c r="C4" s="6">
        <f>C3*1.2</f>
        <v>149160</v>
      </c>
      <c r="D4" s="7">
        <v>44751</v>
      </c>
      <c r="E4" s="10">
        <v>6197.4161999999997</v>
      </c>
      <c r="F4" s="10">
        <f t="shared" ref="F4:F14" si="0">E4*0.2</f>
        <v>1239.48324</v>
      </c>
    </row>
    <row r="5" spans="1:9" x14ac:dyDescent="0.3">
      <c r="B5" s="11" t="s">
        <v>36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9" x14ac:dyDescent="0.3">
      <c r="B6" s="11" t="s">
        <v>37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9" x14ac:dyDescent="0.3">
      <c r="B7" s="11" t="s">
        <v>38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9" x14ac:dyDescent="0.3">
      <c r="B8" s="11" t="s">
        <v>39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9" x14ac:dyDescent="0.3">
      <c r="B9" s="11" t="s">
        <v>40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9" x14ac:dyDescent="0.3">
      <c r="B10" s="11" t="s">
        <v>41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9" x14ac:dyDescent="0.3">
      <c r="B11" s="11" t="s">
        <v>42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9" x14ac:dyDescent="0.3">
      <c r="B12" s="11" t="s">
        <v>45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9" x14ac:dyDescent="0.3">
      <c r="B13" s="11" t="s">
        <v>46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9" x14ac:dyDescent="0.3">
      <c r="B14" s="11" t="s">
        <v>47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9" x14ac:dyDescent="0.3">
      <c r="B15" s="11"/>
      <c r="C15" s="10"/>
      <c r="D15" s="10"/>
      <c r="E15" s="10"/>
      <c r="F15" s="10"/>
    </row>
    <row r="16" spans="1:9" x14ac:dyDescent="0.3">
      <c r="B16" s="11"/>
      <c r="C16" s="10"/>
      <c r="D16" s="10"/>
      <c r="E16" s="10"/>
      <c r="F16" s="10"/>
    </row>
    <row r="17" spans="2:6" x14ac:dyDescent="0.3">
      <c r="B17" s="11"/>
      <c r="C17" s="10"/>
      <c r="D17" s="10"/>
      <c r="E17" s="10"/>
      <c r="F17" s="10"/>
    </row>
    <row r="18" spans="2:6" x14ac:dyDescent="0.3">
      <c r="B18" s="11"/>
      <c r="C18" s="10"/>
      <c r="D18" s="10"/>
      <c r="E18" s="10"/>
      <c r="F18" s="10"/>
    </row>
    <row r="19" spans="2:6" x14ac:dyDescent="0.3">
      <c r="B19" s="11"/>
      <c r="C19" s="10"/>
      <c r="D19" s="10"/>
      <c r="E19" s="10"/>
      <c r="F19" s="10"/>
    </row>
    <row r="20" spans="2:6" x14ac:dyDescent="0.3">
      <c r="B20" s="11"/>
      <c r="C20" s="10"/>
      <c r="D20" s="10"/>
      <c r="E20" s="10"/>
      <c r="F20" s="10"/>
    </row>
    <row r="21" spans="2:6" x14ac:dyDescent="0.3">
      <c r="B21" s="11"/>
      <c r="C21" s="10"/>
      <c r="D21" s="10"/>
      <c r="E21" s="10"/>
      <c r="F21" s="10"/>
    </row>
    <row r="22" spans="2:6" x14ac:dyDescent="0.3">
      <c r="B22" s="11"/>
      <c r="C22" s="10"/>
      <c r="D22" s="10"/>
      <c r="E22" s="10"/>
      <c r="F22" s="10"/>
    </row>
    <row r="23" spans="2:6" x14ac:dyDescent="0.3">
      <c r="B23" s="11"/>
      <c r="C23" s="10"/>
      <c r="D23" s="10"/>
      <c r="E23" s="10"/>
      <c r="F23" s="10"/>
    </row>
    <row r="24" spans="2:6" x14ac:dyDescent="0.3">
      <c r="B24" s="11"/>
      <c r="C24" s="10"/>
      <c r="D24" s="10"/>
      <c r="E24" s="10"/>
      <c r="F2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D61B-F309-344C-9251-9A4573BB9A69}">
  <dimension ref="A1:J25"/>
  <sheetViews>
    <sheetView showGridLines="0" workbookViewId="0">
      <selection activeCell="I7" sqref="I7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11.09765625" bestFit="1" customWidth="1"/>
  </cols>
  <sheetData>
    <row r="1" spans="1:10" x14ac:dyDescent="0.3">
      <c r="A1" t="s">
        <v>0</v>
      </c>
    </row>
    <row r="2" spans="1:10" x14ac:dyDescent="0.3">
      <c r="B2" s="21" t="s">
        <v>30</v>
      </c>
      <c r="C2" s="21"/>
      <c r="D2" s="21"/>
      <c r="E2" s="21"/>
      <c r="F2" s="21"/>
      <c r="H2" s="8" t="s">
        <v>1</v>
      </c>
      <c r="I2" s="8" t="s">
        <v>32</v>
      </c>
      <c r="J2" s="8" t="s">
        <v>4</v>
      </c>
    </row>
    <row r="3" spans="1:10" x14ac:dyDescent="0.3">
      <c r="B3" s="12" t="s">
        <v>31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4" t="s">
        <v>20</v>
      </c>
      <c r="I3" s="4">
        <v>2020</v>
      </c>
      <c r="J3" s="18" cm="1">
        <f t="array" ref="J3">_xlfn.XLOOKUP(H3,B4:B25,_xlfn.XLOOKUP(I3,C3:F3,C4:F25))</f>
        <v>1425.405726</v>
      </c>
    </row>
    <row r="4" spans="1:10" x14ac:dyDescent="0.3">
      <c r="B4" s="11" t="s">
        <v>19</v>
      </c>
      <c r="C4" s="10">
        <v>1087.2660000000001</v>
      </c>
      <c r="D4" s="10">
        <v>1250.3559</v>
      </c>
      <c r="E4" s="10">
        <v>1187.838105</v>
      </c>
      <c r="F4" s="10">
        <v>1413.52734495</v>
      </c>
      <c r="J4" s="19">
        <f>INDEX(C4:F25,MATCH(H3,B4:B25,0),MATCH(I3,C3:F3))</f>
        <v>1425.405726</v>
      </c>
    </row>
    <row r="5" spans="1:10" x14ac:dyDescent="0.3">
      <c r="B5" s="11" t="s">
        <v>20</v>
      </c>
      <c r="C5" s="10">
        <v>1239.48324</v>
      </c>
      <c r="D5" s="10">
        <v>1425.405726</v>
      </c>
      <c r="E5" s="10">
        <v>1354.1354397</v>
      </c>
      <c r="F5" s="10">
        <v>1611.4211732429999</v>
      </c>
      <c r="J5" s="15"/>
    </row>
    <row r="6" spans="1:10" x14ac:dyDescent="0.3">
      <c r="B6" s="11" t="s">
        <v>21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</row>
    <row r="7" spans="1:10" x14ac:dyDescent="0.3">
      <c r="B7" s="11" t="s">
        <v>22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</row>
    <row r="8" spans="1:10" x14ac:dyDescent="0.3">
      <c r="B8" s="11" t="s">
        <v>23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</row>
    <row r="9" spans="1:10" x14ac:dyDescent="0.3">
      <c r="B9" s="11" t="s">
        <v>24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0" x14ac:dyDescent="0.3">
      <c r="B10" s="11" t="s">
        <v>25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0" x14ac:dyDescent="0.3">
      <c r="B11" s="11" t="s">
        <v>26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0" x14ac:dyDescent="0.3">
      <c r="B12" s="11" t="s">
        <v>27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0" x14ac:dyDescent="0.3">
      <c r="B13" s="11" t="s">
        <v>6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0" x14ac:dyDescent="0.3">
      <c r="B14" s="11" t="s">
        <v>7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0" x14ac:dyDescent="0.3">
      <c r="B15" s="11" t="s">
        <v>8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0" x14ac:dyDescent="0.3">
      <c r="B16" s="11" t="s">
        <v>9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3">
      <c r="B17" s="11" t="s">
        <v>10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3">
      <c r="B18" s="11" t="s">
        <v>11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3">
      <c r="B19" s="11" t="s">
        <v>12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3">
      <c r="B20" s="11" t="s">
        <v>13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3">
      <c r="B21" s="11" t="s">
        <v>14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3">
      <c r="B22" s="11" t="s">
        <v>15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3">
      <c r="B23" s="11" t="s">
        <v>16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3">
      <c r="B24" s="11" t="s">
        <v>17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3">
      <c r="B25" s="11" t="s">
        <v>18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1">
    <mergeCell ref="B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328F-26FA-5047-A452-389F261A909B}">
  <dimension ref="A1:K25"/>
  <sheetViews>
    <sheetView showGridLines="0" workbookViewId="0">
      <selection activeCell="J8" sqref="J8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11.09765625" bestFit="1" customWidth="1"/>
  </cols>
  <sheetData>
    <row r="1" spans="1:11" x14ac:dyDescent="0.3">
      <c r="A1" t="s">
        <v>0</v>
      </c>
    </row>
    <row r="2" spans="1:11" x14ac:dyDescent="0.3">
      <c r="B2" s="21" t="s">
        <v>30</v>
      </c>
      <c r="C2" s="21"/>
      <c r="D2" s="21"/>
      <c r="E2" s="21"/>
      <c r="F2" s="21"/>
      <c r="H2" s="21" t="s">
        <v>29</v>
      </c>
      <c r="I2" s="21"/>
      <c r="J2" s="21"/>
    </row>
    <row r="3" spans="1:11" x14ac:dyDescent="0.3">
      <c r="B3" s="12" t="s">
        <v>31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13" t="s">
        <v>1</v>
      </c>
      <c r="I3" s="13" t="s">
        <v>32</v>
      </c>
      <c r="J3" s="13" t="s">
        <v>4</v>
      </c>
    </row>
    <row r="4" spans="1:11" x14ac:dyDescent="0.3">
      <c r="B4" t="s">
        <v>20</v>
      </c>
      <c r="C4" s="10">
        <v>1087.2660000000001</v>
      </c>
      <c r="D4" s="10">
        <v>1250.3559</v>
      </c>
      <c r="E4" s="10">
        <v>1187.838105</v>
      </c>
      <c r="F4" s="10">
        <v>1413.52734495</v>
      </c>
      <c r="H4" s="4" t="s">
        <v>20</v>
      </c>
      <c r="I4" s="4">
        <v>2019</v>
      </c>
      <c r="J4" s="10" cm="1">
        <f t="array" ref="J4">_xlfn.XLOOKUP(H4,B4:B25,_xlfn.XLOOKUP(I4,C3:F3,C4:F25))</f>
        <v>1087.2660000000001</v>
      </c>
    </row>
    <row r="5" spans="1:11" x14ac:dyDescent="0.3">
      <c r="B5" t="s">
        <v>20</v>
      </c>
      <c r="C5" s="10">
        <v>1239.48324</v>
      </c>
      <c r="D5" s="10">
        <v>1425.405726</v>
      </c>
      <c r="E5" s="10">
        <v>1354.1354397</v>
      </c>
      <c r="F5" s="10">
        <v>1611.4211732429999</v>
      </c>
    </row>
    <row r="6" spans="1:11" x14ac:dyDescent="0.3">
      <c r="B6" t="s">
        <v>20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  <c r="H6" s="21" t="s">
        <v>33</v>
      </c>
      <c r="I6" s="21"/>
      <c r="J6" s="21"/>
    </row>
    <row r="7" spans="1:11" x14ac:dyDescent="0.3">
      <c r="B7" t="s">
        <v>20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  <c r="H7" s="13" t="s">
        <v>1</v>
      </c>
      <c r="I7" s="13" t="s">
        <v>32</v>
      </c>
      <c r="J7" s="13" t="s">
        <v>4</v>
      </c>
    </row>
    <row r="8" spans="1:11" x14ac:dyDescent="0.3">
      <c r="B8" t="s">
        <v>21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  <c r="H8" s="4" t="s">
        <v>20</v>
      </c>
      <c r="I8" s="4">
        <v>2020</v>
      </c>
      <c r="J8" s="20" cm="1">
        <f t="array" ref="J8">SUM(_xlfn._xlws.FILTER(_xlfn._xlws.FILTER(C4:F25,B4:B25=H8),C3:F3=I8))</f>
        <v>6153.1814351495996</v>
      </c>
      <c r="K8" s="14"/>
    </row>
    <row r="9" spans="1:11" x14ac:dyDescent="0.3">
      <c r="B9" t="s">
        <v>24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1" x14ac:dyDescent="0.3">
      <c r="B10" t="s">
        <v>24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1" x14ac:dyDescent="0.3">
      <c r="B11" t="s">
        <v>24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1" x14ac:dyDescent="0.3">
      <c r="B12" t="s">
        <v>27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1" x14ac:dyDescent="0.3">
      <c r="B13" t="s">
        <v>6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1" x14ac:dyDescent="0.3">
      <c r="B14" t="s">
        <v>6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1" x14ac:dyDescent="0.3">
      <c r="B15" t="s">
        <v>6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1" x14ac:dyDescent="0.3">
      <c r="B16" t="s">
        <v>6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3">
      <c r="B17" t="s">
        <v>6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3">
      <c r="B18" t="s">
        <v>6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3">
      <c r="B19" t="s">
        <v>12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3">
      <c r="B20" t="s">
        <v>12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3">
      <c r="B21" t="s">
        <v>12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3">
      <c r="B22" t="s">
        <v>12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3">
      <c r="B23" t="s">
        <v>12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3">
      <c r="B24" t="s">
        <v>12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3">
      <c r="B25" t="s">
        <v>12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3">
    <mergeCell ref="B2:F2"/>
    <mergeCell ref="H2:J2"/>
    <mergeCell ref="H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</vt:lpstr>
      <vt:lpstr>Hlookup</vt:lpstr>
      <vt:lpstr>Xlookup</vt:lpstr>
      <vt:lpstr>Xlookup 2</vt:lpstr>
      <vt:lpstr>Xlookup 3</vt:lpstr>
      <vt:lpstr>Xlookup 4</vt:lpstr>
      <vt:lpstr>Xlookup 5</vt:lpstr>
      <vt:lpstr>SumFilter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2022-08-01T09:40:24Z</dcterms:created>
  <dcterms:modified xsi:type="dcterms:W3CDTF">2026-08-20T18:03:46Z</dcterms:modified>
</cp:coreProperties>
</file>