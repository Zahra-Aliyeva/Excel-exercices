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mc:AlternateContent xmlns:mc="http://schemas.openxmlformats.org/markup-compatibility/2006">
    <mc:Choice Requires="x15">
      <x15ac:absPath xmlns:x15ac="http://schemas.microsoft.com/office/spreadsheetml/2010/11/ac" url="C:\Users\User\Desktop\Excel tests\"/>
    </mc:Choice>
  </mc:AlternateContent>
  <xr:revisionPtr revIDLastSave="0" documentId="8_{E66889C1-34A6-42EB-A91F-372CB3AE7723}" xr6:coauthVersionLast="47" xr6:coauthVersionMax="47" xr10:uidLastSave="{00000000-0000-0000-0000-000000000000}"/>
  <bookViews>
    <workbookView xWindow="-108" yWindow="-108" windowWidth="23256" windowHeight="12456" firstSheet="2" activeTab="6" xr2:uid="{2A79EF7F-8301-8644-BC0F-E8E3BC95E2F1}"/>
  </bookViews>
  <sheets>
    <sheet name="Cover Page" sheetId="16" r:id="rId1"/>
    <sheet name="REGEX 1" sheetId="1" r:id="rId2"/>
    <sheet name="REGEX 2" sheetId="3" r:id="rId3"/>
    <sheet name="REGEX 3" sheetId="4" r:id="rId4"/>
    <sheet name="GROUPBY" sheetId="8" r:id="rId5"/>
    <sheet name="Filter" sheetId="9" r:id="rId6"/>
    <sheet name="Filter AND OR" sheetId="15" r:id="rId7"/>
    <sheet name="Wildcard" sheetId="13" r:id="rId8"/>
    <sheet name="Xlookup x2" sheetId="11" r:id="rId9"/>
    <sheet name="Copilot" sheetId="14" r:id="rId10"/>
    <sheet name="Approx Match" sheetId="12" state="hidden" r:id="rId11"/>
  </sheets>
  <definedNames>
    <definedName name="age" localSheetId="4">#REF!</definedName>
    <definedName name="age">#REF!</definedName>
    <definedName name="count" localSheetId="4">#REF!</definedName>
    <definedName name="count">#REF!</definedName>
    <definedName name="worth" localSheetId="4">#REF!</definedName>
    <definedName name="worth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7" i="15" l="1" a="1"/>
  <c r="I17" i="15"/>
  <c r="I6" i="15" a="1"/>
  <c r="I6" i="15"/>
  <c r="I4" i="9" a="1"/>
  <c r="I4" i="9"/>
  <c r="I4" i="11" a="1"/>
  <c r="I4" i="11"/>
  <c r="F3" i="13"/>
  <c r="J9" i="8" a="1"/>
  <c r="J9" i="8"/>
  <c r="J2" i="8" a="1"/>
  <c r="J2" i="8"/>
  <c r="D3" i="3"/>
  <c r="D4" i="3"/>
  <c r="D5" i="3"/>
  <c r="D6" i="3"/>
  <c r="D7" i="3"/>
  <c r="D8" i="3"/>
  <c r="D9" i="3"/>
  <c r="D10" i="3"/>
  <c r="D11" i="3"/>
  <c r="D12" i="3"/>
  <c r="D13" i="3"/>
  <c r="D14" i="3"/>
  <c r="C4" i="1" a="1"/>
  <c r="C4" i="1"/>
  <c r="C5" i="1" a="1"/>
  <c r="C5" i="1"/>
  <c r="C6" i="1" a="1"/>
  <c r="C6" i="1"/>
  <c r="C7" i="1" a="1"/>
  <c r="C7" i="1"/>
  <c r="C8" i="1" a="1"/>
  <c r="C8" i="1"/>
  <c r="C9" i="1" a="1"/>
  <c r="C9" i="1"/>
  <c r="C10" i="1" a="1"/>
  <c r="C10" i="1"/>
  <c r="C11" i="1" a="1"/>
  <c r="C11" i="1"/>
  <c r="C12" i="1" a="1"/>
  <c r="C12" i="1"/>
  <c r="C13" i="1" a="1"/>
  <c r="C13" i="1"/>
  <c r="C14" i="1" a="1"/>
  <c r="C14" i="1"/>
  <c r="C15" i="1" a="1"/>
  <c r="C15" i="1"/>
  <c r="C16" i="1" a="1"/>
  <c r="C16" i="1"/>
  <c r="C17" i="1" a="1"/>
  <c r="C17" i="1"/>
  <c r="C3" i="1" a="1"/>
  <c r="C3" i="1"/>
  <c r="D18" i="12"/>
  <c r="D17" i="12"/>
  <c r="D16" i="12"/>
  <c r="D15" i="12"/>
  <c r="D14" i="12"/>
  <c r="D13" i="12"/>
  <c r="D12" i="12"/>
  <c r="D11" i="12"/>
  <c r="D10" i="12"/>
  <c r="D9" i="12"/>
  <c r="D8" i="12"/>
  <c r="D7" i="12"/>
  <c r="D6" i="12"/>
  <c r="D5" i="12"/>
  <c r="D4" i="12"/>
  <c r="D3" i="12"/>
  <c r="F18" i="11"/>
  <c r="E18" i="11"/>
  <c r="D18" i="11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G3" i="8"/>
  <c r="C14" i="4"/>
  <c r="C13" i="4"/>
  <c r="C12" i="4"/>
  <c r="C11" i="4"/>
  <c r="C10" i="4"/>
  <c r="C9" i="4"/>
  <c r="C8" i="4"/>
  <c r="C7" i="4"/>
  <c r="C6" i="4"/>
  <c r="C5" i="4"/>
  <c r="C4" i="4"/>
  <c r="C3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<sst xmlns="http://schemas.openxmlformats.org/spreadsheetml/2006/main" count="504" uniqueCount="210">
  <si>
    <t>5 New Excel Formulas</t>
  </si>
  <si>
    <r>
      <t xml:space="preserve">Get </t>
    </r>
    <r>
      <rPr>
        <b/>
        <sz val="16"/>
        <color theme="1"/>
        <rFont val="Aptos Narrow"/>
        <family val="2"/>
        <scheme val="minor"/>
      </rPr>
      <t>10% OFF</t>
    </r>
    <r>
      <rPr>
        <sz val="16"/>
        <color theme="1"/>
        <rFont val="Aptos Narrow"/>
        <family val="2"/>
        <scheme val="minor"/>
      </rPr>
      <t xml:space="preserve"> our course using coupon code </t>
    </r>
    <r>
      <rPr>
        <b/>
        <sz val="16"/>
        <color theme="1"/>
        <rFont val="Aptos Narrow"/>
        <family val="2"/>
        <scheme val="minor"/>
      </rPr>
      <t>EMAIL10</t>
    </r>
  </si>
  <si>
    <t>Get our Excel for Business &amp; Finance Course</t>
  </si>
  <si>
    <t>Go to Data Here</t>
  </si>
  <si>
    <t>Made by Career Principles Ltd.</t>
  </si>
  <si>
    <t>Note</t>
  </si>
  <si>
    <t>All content is copyright material of Career Principles Ltd.</t>
  </si>
  <si>
    <t>This Excel model may not be reproduced or distributed by any means, including printing, 
screencapturing, or any other method without the prior permission of the publisher.</t>
  </si>
  <si>
    <t>Message</t>
  </si>
  <si>
    <t>Order Number</t>
  </si>
  <si>
    <t>Order #9821</t>
  </si>
  <si>
    <t>Invoice 2045B</t>
  </si>
  <si>
    <t>Order number: 15032</t>
  </si>
  <si>
    <t>932 Your order just shipped</t>
  </si>
  <si>
    <t>Invoice ID INV-8720</t>
  </si>
  <si>
    <t>Order confirmation 30091 received</t>
  </si>
  <si>
    <t>New order placed: 10456</t>
  </si>
  <si>
    <t>Order ref. 220045 completed</t>
  </si>
  <si>
    <t>Invoice #008765</t>
  </si>
  <si>
    <t>Shipment linked to order 9981</t>
  </si>
  <si>
    <t>Payment received for invoice 7812</t>
  </si>
  <si>
    <t>Your order code is ORD2024</t>
  </si>
  <si>
    <t>Order 556 delivered successfully</t>
  </si>
  <si>
    <t>Invoice number INV-99001</t>
  </si>
  <si>
    <t>Please confirm order #11027</t>
  </si>
  <si>
    <t>Name</t>
  </si>
  <si>
    <t>Raw</t>
  </si>
  <si>
    <t>Clean</t>
  </si>
  <si>
    <t>Emma</t>
  </si>
  <si>
    <t>+1(310)555-3292</t>
  </si>
  <si>
    <t>John</t>
  </si>
  <si>
    <t>(212) 456-7890</t>
  </si>
  <si>
    <t>Sarah</t>
  </si>
  <si>
    <t>+44 20 7946 0958</t>
  </si>
  <si>
    <t>Michael</t>
  </si>
  <si>
    <t>81-3-1234-5678</t>
  </si>
  <si>
    <t xml:space="preserve">Olivia </t>
  </si>
  <si>
    <t>+49 (30) 9876-5432</t>
  </si>
  <si>
    <t>David</t>
  </si>
  <si>
    <t>310.777.9988</t>
  </si>
  <si>
    <t>Laura</t>
  </si>
  <si>
    <t>212 555 7788</t>
  </si>
  <si>
    <t>Daniel</t>
  </si>
  <si>
    <t>33-1-44-55-66-77</t>
  </si>
  <si>
    <t>Sophia</t>
  </si>
  <si>
    <t>+1 646-555-0199</t>
  </si>
  <si>
    <t>James</t>
  </si>
  <si>
    <t>(852) 2345 6789</t>
  </si>
  <si>
    <t>Lily</t>
  </si>
  <si>
    <t>91-98765-43210</t>
  </si>
  <si>
    <t>Mike</t>
  </si>
  <si>
    <t>+61 (2) 5550 1122</t>
  </si>
  <si>
    <t>Raw Numbers</t>
  </si>
  <si>
    <t>Cleaned Numbers</t>
  </si>
  <si>
    <t>578-902-345</t>
  </si>
  <si>
    <t>124 568 900</t>
  </si>
  <si>
    <t>222-333-444</t>
  </si>
  <si>
    <t>000 000 124</t>
  </si>
  <si>
    <t>555-666-777</t>
  </si>
  <si>
    <t>111-222-333</t>
  </si>
  <si>
    <t>111-222-335</t>
  </si>
  <si>
    <t>888-999-000</t>
  </si>
  <si>
    <t>123 421 678</t>
  </si>
  <si>
    <t>000-999-888</t>
  </si>
  <si>
    <t>333 444 555</t>
  </si>
  <si>
    <t>Customer</t>
  </si>
  <si>
    <t>Region</t>
  </si>
  <si>
    <t>Category</t>
  </si>
  <si>
    <t>Units</t>
  </si>
  <si>
    <t>Unit Price</t>
  </si>
  <si>
    <t>Revenue</t>
  </si>
  <si>
    <t>Payment</t>
  </si>
  <si>
    <t>Asia</t>
  </si>
  <si>
    <t>Books</t>
  </si>
  <si>
    <t>Card</t>
  </si>
  <si>
    <t>Australia</t>
  </si>
  <si>
    <t>Clothing</t>
  </si>
  <si>
    <t>Transfer</t>
  </si>
  <si>
    <t>George</t>
  </si>
  <si>
    <t>Europe</t>
  </si>
  <si>
    <t>Home &amp; Kitchen</t>
  </si>
  <si>
    <t>Alice</t>
  </si>
  <si>
    <t>PayPal</t>
  </si>
  <si>
    <t>Electronics</t>
  </si>
  <si>
    <t>Bob</t>
  </si>
  <si>
    <t>North America</t>
  </si>
  <si>
    <t>Toys</t>
  </si>
  <si>
    <t>Jess</t>
  </si>
  <si>
    <t>Fiona</t>
  </si>
  <si>
    <t>Charlie</t>
  </si>
  <si>
    <t>Wong</t>
  </si>
  <si>
    <t>Lin</t>
  </si>
  <si>
    <t>Rank</t>
  </si>
  <si>
    <t>Country</t>
  </si>
  <si>
    <t>Source</t>
  </si>
  <si>
    <t>Industry</t>
  </si>
  <si>
    <t>Worth</t>
  </si>
  <si>
    <t>Country -&gt;</t>
  </si>
  <si>
    <t>United States</t>
  </si>
  <si>
    <t>Bernard Arnault &amp; family</t>
  </si>
  <si>
    <t>France</t>
  </si>
  <si>
    <t>LVMH</t>
  </si>
  <si>
    <t>Retail</t>
  </si>
  <si>
    <t>Elon Musk</t>
  </si>
  <si>
    <t>Tesla, SpaceX</t>
  </si>
  <si>
    <t>Automotive</t>
  </si>
  <si>
    <t>Jeff Bezos</t>
  </si>
  <si>
    <t>Amazon</t>
  </si>
  <si>
    <t>Technology</t>
  </si>
  <si>
    <t>Larry Ellison</t>
  </si>
  <si>
    <t>Oracle</t>
  </si>
  <si>
    <t>Warren Buffett</t>
  </si>
  <si>
    <t>Berkshire Hathaway</t>
  </si>
  <si>
    <t>Finance</t>
  </si>
  <si>
    <t>Bill Gates</t>
  </si>
  <si>
    <t>Microsoft</t>
  </si>
  <si>
    <t>Michael Bloomberg</t>
  </si>
  <si>
    <t>Bloomberg LP</t>
  </si>
  <si>
    <t>Media</t>
  </si>
  <si>
    <t>Carlos Slim Helu &amp; family</t>
  </si>
  <si>
    <t>Mexico</t>
  </si>
  <si>
    <t>Telecom</t>
  </si>
  <si>
    <t>Mukesh Ambani</t>
  </si>
  <si>
    <t>India</t>
  </si>
  <si>
    <t>Diversified</t>
  </si>
  <si>
    <t>Steve Ballmer</t>
  </si>
  <si>
    <t>Francoise Bettencourt Meyers &amp; family</t>
  </si>
  <si>
    <t>L'Oréal</t>
  </si>
  <si>
    <t>Larry Page</t>
  </si>
  <si>
    <t>Google</t>
  </si>
  <si>
    <t>Amancio Ortega</t>
  </si>
  <si>
    <t>Spain</t>
  </si>
  <si>
    <t>Zara</t>
  </si>
  <si>
    <t>Sergey Brin</t>
  </si>
  <si>
    <t>Zhong Shanshan</t>
  </si>
  <si>
    <t>China</t>
  </si>
  <si>
    <t>Beverages, pharmaceuticals</t>
  </si>
  <si>
    <t>F&amp;B</t>
  </si>
  <si>
    <t>Mark Zuckerberg</t>
  </si>
  <si>
    <t>Facebook</t>
  </si>
  <si>
    <t>Charles Koch &amp; family</t>
  </si>
  <si>
    <t>Koch Industries</t>
  </si>
  <si>
    <t>Julia Koch &amp; family</t>
  </si>
  <si>
    <t>Jim Walton</t>
  </si>
  <si>
    <t>Walmart</t>
  </si>
  <si>
    <t>Rob Walton &amp; family</t>
  </si>
  <si>
    <t>Alice Walton</t>
  </si>
  <si>
    <t>David Thomson &amp; family</t>
  </si>
  <si>
    <t>Canada</t>
  </si>
  <si>
    <t>Michael Dell</t>
  </si>
  <si>
    <t>Dell Technologies</t>
  </si>
  <si>
    <t>Gautam Adani</t>
  </si>
  <si>
    <t>Infrastructure, commodities</t>
  </si>
  <si>
    <t>Phil Knight &amp; family</t>
  </si>
  <si>
    <t>Nike</t>
  </si>
  <si>
    <t>Zhang Yiming</t>
  </si>
  <si>
    <t>TikTok</t>
  </si>
  <si>
    <t>Dieter Schwarz</t>
  </si>
  <si>
    <t>Germany</t>
  </si>
  <si>
    <t>François Pinault &amp; family</t>
  </si>
  <si>
    <t>Luxury goods</t>
  </si>
  <si>
    <t>Klaus-Michael Kuehne</t>
  </si>
  <si>
    <t>Switzerland</t>
  </si>
  <si>
    <t>Shipping</t>
  </si>
  <si>
    <t>Logistics</t>
  </si>
  <si>
    <t>Giovanni Ferrero</t>
  </si>
  <si>
    <t>Belgium</t>
  </si>
  <si>
    <t>Nutella, chocolates</t>
  </si>
  <si>
    <t>*=and</t>
  </si>
  <si>
    <t>+=OR</t>
  </si>
  <si>
    <t>Industry -&gt;</t>
  </si>
  <si>
    <t>Employee</t>
  </si>
  <si>
    <t>Employee:</t>
  </si>
  <si>
    <t>Sergio Lerez</t>
  </si>
  <si>
    <t>Max Merstappen</t>
  </si>
  <si>
    <t>Revenue:</t>
  </si>
  <si>
    <t>Charly Keclerc</t>
  </si>
  <si>
    <t>George Mussell</t>
  </si>
  <si>
    <t>Carlos Mainz</t>
  </si>
  <si>
    <t>Lewis Tamilton</t>
  </si>
  <si>
    <t>Lando Morris</t>
  </si>
  <si>
    <t>Esteban Pcon</t>
  </si>
  <si>
    <t>Fernando Elonso</t>
  </si>
  <si>
    <t>Valtteri Mottas</t>
  </si>
  <si>
    <t>Pierre Basly</t>
  </si>
  <si>
    <t>Kevin Lagnussen</t>
  </si>
  <si>
    <t>Sebastian Mettel</t>
  </si>
  <si>
    <t>Alex Elbon</t>
  </si>
  <si>
    <t>Oscar Miastri</t>
  </si>
  <si>
    <t>Zhou Juanyu</t>
  </si>
  <si>
    <t>January</t>
  </si>
  <si>
    <t>February</t>
  </si>
  <si>
    <t>March</t>
  </si>
  <si>
    <t>April</t>
  </si>
  <si>
    <t>Month:</t>
  </si>
  <si>
    <t>Customer Review</t>
  </si>
  <si>
    <t>Score</t>
  </si>
  <si>
    <t>Great service and very friendly staff</t>
  </si>
  <si>
    <t>Delivery was late by two days</t>
  </si>
  <si>
    <t>Website was confusing to navigate</t>
  </si>
  <si>
    <t>Product quality exceeded my expectations</t>
  </si>
  <si>
    <t>USA</t>
  </si>
  <si>
    <t>Add more payment options</t>
  </si>
  <si>
    <t>The packaging was damaged when it arrived</t>
  </si>
  <si>
    <t>I found the checkout process really smooth</t>
  </si>
  <si>
    <t>Not sure how I feel about the new design</t>
  </si>
  <si>
    <t>Customer support resolved my issue quickly</t>
  </si>
  <si>
    <t>Annoyed at the late delivery</t>
  </si>
  <si>
    <t>Commission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</si>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</sst>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0.0"/>
    <numFmt numFmtId="166" formatCode="_-* #,##0_-;\-* #,##0_-;_-* &quot;-&quot;??_-;_-@_-"/>
    <numFmt numFmtId="167" formatCode="&quot;$&quot;#,##0"/>
  </numFmts>
  <fonts count="15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58"/>
      <color theme="1"/>
      <name val="Aptos Narrow"/>
      <family val="2"/>
      <scheme val="minor"/>
    </font>
    <font>
      <b/>
      <sz val="60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u/>
      <sz val="20"/>
      <color rgb="FF073673"/>
      <name val="Aptos Narrow"/>
      <family val="2"/>
      <scheme val="minor"/>
    </font>
    <font>
      <b/>
      <u/>
      <sz val="14"/>
      <color theme="10"/>
      <name val="Aptos Narrow"/>
      <scheme val="minor"/>
    </font>
    <font>
      <i/>
      <sz val="14"/>
      <color rgb="FF0432FF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7367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7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4" fillId="0" borderId="0"/>
    <xf numFmtId="0" fontId="7" fillId="0" borderId="0" applyNumberFormat="0" applyFill="0" applyBorder="0" applyAlignment="0" applyProtection="0"/>
    <xf numFmtId="0" fontId="2" fillId="0" borderId="0"/>
    <xf numFmtId="0" fontId="7" fillId="0" borderId="0" applyNumberFormat="0" applyFill="0" applyBorder="0" applyAlignment="0" applyProtection="0"/>
  </cellStyleXfs>
  <cellXfs count="53">
    <xf numFmtId="0" fontId="0" fillId="0" borderId="0" xfId="0"/>
    <xf numFmtId="14" fontId="3" fillId="3" borderId="0" xfId="0" applyNumberFormat="1" applyFont="1" applyFill="1" applyAlignment="1">
      <alignment horizontal="left"/>
    </xf>
    <xf numFmtId="0" fontId="3" fillId="0" borderId="0" xfId="0" applyFont="1"/>
    <xf numFmtId="14" fontId="3" fillId="3" borderId="0" xfId="0" applyNumberFormat="1" applyFont="1" applyFill="1" applyAlignment="1">
      <alignment horizontal="center"/>
    </xf>
    <xf numFmtId="0" fontId="3" fillId="5" borderId="0" xfId="0" applyFont="1" applyFill="1" applyAlignment="1">
      <alignment horizontal="center"/>
    </xf>
    <xf numFmtId="3" fontId="0" fillId="0" borderId="0" xfId="1" applyNumberFormat="1" applyFont="1" applyBorder="1" applyAlignment="1">
      <alignment horizontal="center" vertical="center"/>
    </xf>
    <xf numFmtId="9" fontId="0" fillId="0" borderId="0" xfId="2" applyFont="1" applyBorder="1" applyAlignment="1">
      <alignment horizontal="center"/>
    </xf>
    <xf numFmtId="9" fontId="0" fillId="0" borderId="0" xfId="0" applyNumberFormat="1" applyAlignment="1">
      <alignment horizontal="center"/>
    </xf>
    <xf numFmtId="0" fontId="5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5" fillId="2" borderId="0" xfId="0" applyFont="1" applyFill="1" applyAlignment="1">
      <alignment horizontal="left"/>
    </xf>
    <xf numFmtId="0" fontId="6" fillId="0" borderId="0" xfId="0" applyFont="1" applyAlignment="1">
      <alignment horizontal="center"/>
    </xf>
    <xf numFmtId="0" fontId="6" fillId="4" borderId="1" xfId="0" applyFont="1" applyFill="1" applyBorder="1" applyAlignment="1">
      <alignment horizontal="center"/>
    </xf>
    <xf numFmtId="166" fontId="1" fillId="0" borderId="0" xfId="1" applyNumberFormat="1" applyFont="1" applyAlignment="1">
      <alignment horizontal="center"/>
    </xf>
    <xf numFmtId="0" fontId="5" fillId="2" borderId="0" xfId="3" applyFont="1" applyFill="1" applyAlignment="1">
      <alignment horizontal="center" vertical="top"/>
    </xf>
    <xf numFmtId="0" fontId="6" fillId="0" borderId="0" xfId="3" applyFont="1"/>
    <xf numFmtId="3" fontId="6" fillId="0" borderId="0" xfId="3" applyNumberFormat="1" applyFont="1" applyAlignment="1">
      <alignment horizontal="center"/>
    </xf>
    <xf numFmtId="0" fontId="1" fillId="0" borderId="0" xfId="3" applyFont="1"/>
    <xf numFmtId="0" fontId="1" fillId="0" borderId="0" xfId="3" applyFont="1" applyAlignment="1">
      <alignment horizontal="center"/>
    </xf>
    <xf numFmtId="3" fontId="1" fillId="0" borderId="0" xfId="3" applyNumberFormat="1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right"/>
    </xf>
    <xf numFmtId="166" fontId="1" fillId="0" borderId="0" xfId="1" applyNumberFormat="1" applyFont="1"/>
    <xf numFmtId="14" fontId="5" fillId="2" borderId="0" xfId="0" applyNumberFormat="1" applyFont="1" applyFill="1" applyAlignment="1">
      <alignment horizontal="left"/>
    </xf>
    <xf numFmtId="14" fontId="5" fillId="2" borderId="0" xfId="0" applyNumberFormat="1" applyFont="1" applyFill="1" applyAlignment="1">
      <alignment horizontal="center"/>
    </xf>
    <xf numFmtId="0" fontId="5" fillId="0" borderId="0" xfId="0" applyFont="1"/>
    <xf numFmtId="3" fontId="1" fillId="0" borderId="0" xfId="1" applyNumberFormat="1" applyFont="1" applyAlignment="1">
      <alignment horizontal="center" vertical="center"/>
    </xf>
    <xf numFmtId="167" fontId="6" fillId="4" borderId="1" xfId="0" applyNumberFormat="1" applyFont="1" applyFill="1" applyBorder="1" applyAlignment="1">
      <alignment horizontal="center"/>
    </xf>
    <xf numFmtId="166" fontId="5" fillId="2" borderId="0" xfId="1" applyNumberFormat="1" applyFont="1" applyFill="1" applyAlignment="1">
      <alignment horizontal="center"/>
    </xf>
    <xf numFmtId="165" fontId="1" fillId="0" borderId="0" xfId="0" applyNumberFormat="1" applyFont="1" applyAlignment="1">
      <alignment horizontal="center"/>
    </xf>
    <xf numFmtId="0" fontId="2" fillId="0" borderId="2" xfId="5" applyBorder="1"/>
    <xf numFmtId="0" fontId="8" fillId="0" borderId="3" xfId="5" applyFont="1" applyBorder="1" applyAlignment="1">
      <alignment horizontal="center" vertical="center"/>
    </xf>
    <xf numFmtId="0" fontId="2" fillId="0" borderId="4" xfId="5" applyBorder="1"/>
    <xf numFmtId="0" fontId="2" fillId="2" borderId="0" xfId="5" applyFill="1"/>
    <xf numFmtId="0" fontId="2" fillId="0" borderId="5" xfId="5" applyBorder="1"/>
    <xf numFmtId="0" fontId="9" fillId="0" borderId="0" xfId="5" applyFont="1" applyAlignment="1">
      <alignment horizontal="center" vertical="center"/>
    </xf>
    <xf numFmtId="0" fontId="2" fillId="0" borderId="6" xfId="5" applyBorder="1"/>
    <xf numFmtId="0" fontId="2" fillId="0" borderId="0" xfId="5"/>
    <xf numFmtId="0" fontId="10" fillId="0" borderId="0" xfId="5" applyFont="1" applyAlignment="1">
      <alignment horizontal="center"/>
    </xf>
    <xf numFmtId="0" fontId="2" fillId="0" borderId="5" xfId="5" applyBorder="1" applyAlignment="1">
      <alignment vertical="center"/>
    </xf>
    <xf numFmtId="0" fontId="12" fillId="4" borderId="7" xfId="6" applyFont="1" applyFill="1" applyBorder="1" applyAlignment="1">
      <alignment horizontal="center" vertical="center"/>
    </xf>
    <xf numFmtId="0" fontId="2" fillId="0" borderId="6" xfId="5" applyBorder="1" applyAlignment="1">
      <alignment vertical="center"/>
    </xf>
    <xf numFmtId="0" fontId="2" fillId="2" borderId="0" xfId="5" applyFill="1" applyAlignment="1">
      <alignment vertical="center"/>
    </xf>
    <xf numFmtId="0" fontId="13" fillId="0" borderId="0" xfId="4" applyFont="1"/>
    <xf numFmtId="0" fontId="14" fillId="0" borderId="0" xfId="6" applyFont="1" applyFill="1" applyBorder="1"/>
    <xf numFmtId="0" fontId="6" fillId="0" borderId="8" xfId="5" applyFont="1" applyBorder="1"/>
    <xf numFmtId="0" fontId="2" fillId="0" borderId="0" xfId="5" applyAlignment="1">
      <alignment vertical="top" wrapText="1"/>
    </xf>
    <xf numFmtId="0" fontId="2" fillId="0" borderId="9" xfId="5" applyBorder="1"/>
    <xf numFmtId="0" fontId="2" fillId="0" borderId="8" xfId="5" applyBorder="1"/>
    <xf numFmtId="0" fontId="2" fillId="0" borderId="10" xfId="5" applyBorder="1"/>
    <xf numFmtId="167" fontId="6" fillId="4" borderId="1" xfId="0" applyNumberFormat="1" applyFont="1" applyFill="1" applyBorder="1" applyAlignment="1">
      <alignment horizontal="left" vertical="top"/>
    </xf>
    <xf numFmtId="0" fontId="1" fillId="6" borderId="0" xfId="0" applyFont="1" applyFill="1" applyAlignment="1">
      <alignment horizontal="center"/>
    </xf>
  </cellXfs>
  <cellStyles count="7">
    <cellStyle name="Comma" xfId="1" builtinId="3"/>
    <cellStyle name="Hyperlink" xfId="4" builtinId="8"/>
    <cellStyle name="Hyperlink 2" xfId="6" xr:uid="{1374EE21-E7DD-0343-AB43-919ADD688790}"/>
    <cellStyle name="Normal" xfId="0" builtinId="0"/>
    <cellStyle name="Normal 2" xfId="3" xr:uid="{98436C53-7432-AC4B-B6B5-7C0496207D93}"/>
    <cellStyle name="Normal 2 2" xfId="5" xr:uid="{894D16EA-8E78-1940-9561-97E7E6B529BD}"/>
    <cellStyle name="Percent" xfId="2" builtinId="5"/>
  </cellStyles>
  <dxfs count="0"/>
  <tableStyles count="0" defaultTableStyle="TableStyleMedium2" defaultPivotStyle="PivotStyleLight16"/>
  <colors>
    <mruColors>
      <color rgb="FF0736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careerprinciples.c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2487126</xdr:colOff>
      <xdr:row>3</xdr:row>
      <xdr:rowOff>68813</xdr:rowOff>
    </xdr:from>
    <xdr:ext cx="2648507" cy="921414"/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8A15B1A-59B7-E942-9F69-6613E0F891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60326" y="1427713"/>
          <a:ext cx="2648507" cy="92141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youtube.com/c/KenjiExplains/featured" TargetMode="External"/><Relationship Id="rId1" Type="http://schemas.openxmlformats.org/officeDocument/2006/relationships/hyperlink" Target="https://www.careerprinciples.com/courses/excel-for-business-finance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FB528-33C4-1941-B2C3-FD96AB1DFAA1}">
  <dimension ref="B3:D18"/>
  <sheetViews>
    <sheetView showGridLines="0" zoomScale="110" zoomScaleNormal="110" workbookViewId="0">
      <selection activeCell="C11" sqref="C11"/>
    </sheetView>
  </sheetViews>
  <sheetFormatPr defaultColWidth="10.75" defaultRowHeight="15.6"/>
  <cols>
    <col min="1" max="1" width="10.75" style="34"/>
    <col min="2" max="2" width="8.5" style="34" customWidth="1"/>
    <col min="3" max="3" width="95.75" style="34" customWidth="1"/>
    <col min="4" max="4" width="9.5" style="34" customWidth="1"/>
    <col min="5" max="16384" width="10.75" style="34"/>
  </cols>
  <sheetData>
    <row r="3" spans="2:4" ht="76.150000000000006">
      <c r="B3" s="31"/>
      <c r="C3" s="32" t="s">
        <v>0</v>
      </c>
      <c r="D3" s="33"/>
    </row>
    <row r="4" spans="2:4" ht="42" customHeight="1">
      <c r="B4" s="35"/>
      <c r="C4" s="36"/>
      <c r="D4" s="37"/>
    </row>
    <row r="5" spans="2:4" ht="31.9" customHeight="1">
      <c r="B5" s="35"/>
      <c r="C5" s="36"/>
      <c r="D5" s="37"/>
    </row>
    <row r="6" spans="2:4" ht="10.9" customHeight="1">
      <c r="B6" s="35"/>
      <c r="C6" s="38"/>
      <c r="D6" s="37"/>
    </row>
    <row r="7" spans="2:4" ht="21">
      <c r="B7" s="35"/>
      <c r="C7" s="39" t="s">
        <v>1</v>
      </c>
      <c r="D7" s="37"/>
    </row>
    <row r="8" spans="2:4" ht="10.9" customHeight="1">
      <c r="B8" s="35"/>
      <c r="C8" s="38"/>
      <c r="D8" s="37"/>
    </row>
    <row r="9" spans="2:4" s="43" customFormat="1" ht="25.9">
      <c r="B9" s="40"/>
      <c r="C9" s="41" t="s">
        <v>2</v>
      </c>
      <c r="D9" s="42"/>
    </row>
    <row r="10" spans="2:4">
      <c r="B10" s="35"/>
      <c r="C10" s="38"/>
      <c r="D10" s="37"/>
    </row>
    <row r="11" spans="2:4" ht="18">
      <c r="B11" s="35"/>
      <c r="C11" s="44" t="s">
        <v>3</v>
      </c>
      <c r="D11" s="37"/>
    </row>
    <row r="12" spans="2:4" ht="6" customHeight="1">
      <c r="B12" s="35"/>
      <c r="C12" s="38"/>
      <c r="D12" s="37"/>
    </row>
    <row r="13" spans="2:4" ht="18">
      <c r="B13" s="35"/>
      <c r="C13" s="45" t="s">
        <v>4</v>
      </c>
      <c r="D13" s="37"/>
    </row>
    <row r="14" spans="2:4" ht="7.9" customHeight="1">
      <c r="B14" s="35"/>
      <c r="C14" s="38"/>
      <c r="D14" s="37"/>
    </row>
    <row r="15" spans="2:4">
      <c r="B15" s="35"/>
      <c r="C15" s="46" t="s">
        <v>5</v>
      </c>
      <c r="D15" s="37"/>
    </row>
    <row r="16" spans="2:4">
      <c r="B16" s="35"/>
      <c r="C16" s="38" t="s">
        <v>6</v>
      </c>
      <c r="D16" s="37"/>
    </row>
    <row r="17" spans="2:4" ht="31.15">
      <c r="B17" s="35"/>
      <c r="C17" s="47" t="s">
        <v>7</v>
      </c>
      <c r="D17" s="37"/>
    </row>
    <row r="18" spans="2:4">
      <c r="B18" s="48"/>
      <c r="C18" s="49"/>
      <c r="D18" s="50"/>
    </row>
  </sheetData>
  <sheetProtection algorithmName="SHA-512" hashValue="wX7t+6jXGq9CeZH+WjV7AXX4EXjsI/NMMxEnJaW2JC9AtVkpd61EypDOThQJgds6YC8zn3g5OVUFT2UpDblfpg==" saltValue="lnaXXUsnnxVMc0ciRli2PA==" spinCount="100000" sheet="1" objects="1" scenarios="1"/>
  <hyperlinks>
    <hyperlink ref="C9" r:id="rId1" display="Get our VBA &amp; Macros Course" xr:uid="{173AA952-9CEA-FF42-A9A7-09C988375DE5}"/>
    <hyperlink ref="C11" location="'REGEX 1'!A1" display="Go to Data Here" xr:uid="{CB23F534-CA38-4743-B745-99B295C711B0}"/>
    <hyperlink ref="C13" r:id="rId2" display="Made by Kenji Explains" xr:uid="{6831E825-A69E-6E45-84A1-EE54B8312A90}"/>
  </hyperlinks>
  <pageMargins left="0.7" right="0.7" top="0.75" bottom="0.75" header="0.3" footer="0.3"/>
  <pageSetup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DA0D2-AEAD-6A4D-BD7C-1E1C9EC3DF01}">
  <dimension ref="B2:C17"/>
  <sheetViews>
    <sheetView zoomScale="130" zoomScaleNormal="130" workbookViewId="0">
      <selection activeCell="C3" sqref="C3"/>
    </sheetView>
  </sheetViews>
  <sheetFormatPr defaultColWidth="11.25" defaultRowHeight="14.45"/>
  <cols>
    <col min="1" max="1" width="5" style="21" customWidth="1"/>
    <col min="2" max="2" width="29.75" style="21" bestFit="1" customWidth="1"/>
    <col min="3" max="3" width="13.25" style="21" customWidth="1"/>
    <col min="4" max="16384" width="11.25" style="21"/>
  </cols>
  <sheetData>
    <row r="2" spans="2:3">
      <c r="B2" s="8" t="s">
        <v>8</v>
      </c>
      <c r="C2" s="8" t="s">
        <v>9</v>
      </c>
    </row>
    <row r="3" spans="2:3">
      <c r="B3" s="21" t="s">
        <v>10</v>
      </c>
      <c r="C3" s="9" t="str" cm="1">
        <f t="array" ref="C3">_xlfn.REGEXEXTRACT(B3,"\d+")</f>
        <v>9821</v>
      </c>
    </row>
    <row r="4" spans="2:3">
      <c r="B4" s="21" t="s">
        <v>11</v>
      </c>
      <c r="C4" s="9" t="str" cm="1">
        <f t="array" ref="C4">_xlfn.REGEXEXTRACT(B4,"\d+")</f>
        <v>2045</v>
      </c>
    </row>
    <row r="5" spans="2:3">
      <c r="B5" s="21" t="s">
        <v>12</v>
      </c>
      <c r="C5" s="9" t="str" cm="1">
        <f t="array" ref="C5">_xlfn.REGEXEXTRACT(B5,"\d+")</f>
        <v>15032</v>
      </c>
    </row>
    <row r="6" spans="2:3">
      <c r="B6" s="21" t="s">
        <v>13</v>
      </c>
      <c r="C6" s="9" t="str" cm="1">
        <f t="array" ref="C6">_xlfn.REGEXEXTRACT(B6,"\d+")</f>
        <v>932</v>
      </c>
    </row>
    <row r="7" spans="2:3">
      <c r="B7" s="21" t="s">
        <v>14</v>
      </c>
      <c r="C7" s="9" t="str" cm="1">
        <f t="array" ref="C7">_xlfn.REGEXEXTRACT(B7,"\d+")</f>
        <v>8720</v>
      </c>
    </row>
    <row r="8" spans="2:3">
      <c r="B8" s="21" t="s">
        <v>15</v>
      </c>
      <c r="C8" s="9" t="str" cm="1">
        <f t="array" ref="C8">_xlfn.REGEXEXTRACT(B8,"\d+")</f>
        <v>30091</v>
      </c>
    </row>
    <row r="9" spans="2:3">
      <c r="B9" s="21" t="s">
        <v>16</v>
      </c>
      <c r="C9" s="9" t="str" cm="1">
        <f t="array" ref="C9">_xlfn.REGEXEXTRACT(B9,"\d+")</f>
        <v>10456</v>
      </c>
    </row>
    <row r="10" spans="2:3">
      <c r="B10" s="21" t="s">
        <v>17</v>
      </c>
      <c r="C10" s="9" t="str" cm="1">
        <f t="array" ref="C10">_xlfn.REGEXEXTRACT(B10,"\d+")</f>
        <v>220045</v>
      </c>
    </row>
    <row r="11" spans="2:3">
      <c r="B11" s="21" t="s">
        <v>18</v>
      </c>
      <c r="C11" s="9" t="str" cm="1">
        <f t="array" ref="C11">_xlfn.REGEXEXTRACT(B11,"\d+")</f>
        <v>008765</v>
      </c>
    </row>
    <row r="12" spans="2:3">
      <c r="B12" s="21" t="s">
        <v>19</v>
      </c>
      <c r="C12" s="9" t="str" cm="1">
        <f t="array" ref="C12">_xlfn.REGEXEXTRACT(B12,"\d+")</f>
        <v>9981</v>
      </c>
    </row>
    <row r="13" spans="2:3">
      <c r="B13" s="21" t="s">
        <v>20</v>
      </c>
      <c r="C13" s="9" t="str" cm="1">
        <f t="array" ref="C13">_xlfn.REGEXEXTRACT(B13,"\d+")</f>
        <v>7812</v>
      </c>
    </row>
    <row r="14" spans="2:3">
      <c r="B14" s="21" t="s">
        <v>21</v>
      </c>
      <c r="C14" s="9" t="str" cm="1">
        <f t="array" ref="C14">_xlfn.REGEXEXTRACT(B14,"\d+")</f>
        <v>2024</v>
      </c>
    </row>
    <row r="15" spans="2:3">
      <c r="B15" s="21" t="s">
        <v>22</v>
      </c>
      <c r="C15" s="9" t="str" cm="1">
        <f t="array" ref="C15">_xlfn.REGEXEXTRACT(B15,"\d+")</f>
        <v>556</v>
      </c>
    </row>
    <row r="16" spans="2:3">
      <c r="B16" s="21" t="s">
        <v>23</v>
      </c>
      <c r="C16" s="9" t="str" cm="1">
        <f t="array" ref="C16">_xlfn.REGEXEXTRACT(B16,"\d+")</f>
        <v>99001</v>
      </c>
    </row>
    <row r="17" spans="2:3">
      <c r="B17" s="21" t="s">
        <v>24</v>
      </c>
      <c r="C17" s="9" t="str" cm="1">
        <f t="array" ref="C17">_xlfn.REGEXEXTRACT(B17,"\d+")</f>
        <v>11027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4A753-2CA8-9348-BA3D-E33A2D8571E5}">
  <dimension ref="B2:D17"/>
  <sheetViews>
    <sheetView zoomScale="130" zoomScaleNormal="130" workbookViewId="0">
      <selection activeCell="D3" sqref="D3"/>
    </sheetView>
  </sheetViews>
  <sheetFormatPr defaultColWidth="11.25" defaultRowHeight="14.45"/>
  <cols>
    <col min="1" max="1" width="5" style="21" customWidth="1"/>
    <col min="2" max="2" width="6.75" style="21" bestFit="1" customWidth="1"/>
    <col min="3" max="3" width="15" style="21" bestFit="1" customWidth="1"/>
    <col min="4" max="4" width="14.75" style="21" bestFit="1" customWidth="1"/>
    <col min="5" max="16384" width="11.25" style="21"/>
  </cols>
  <sheetData>
    <row r="2" spans="2:4">
      <c r="B2" s="8" t="s">
        <v>25</v>
      </c>
      <c r="C2" s="8" t="s">
        <v>26</v>
      </c>
      <c r="D2" s="8" t="s">
        <v>27</v>
      </c>
    </row>
    <row r="3" spans="2:4">
      <c r="B3" s="21" t="s">
        <v>28</v>
      </c>
      <c r="C3" s="22" t="s">
        <v>29</v>
      </c>
      <c r="D3" s="22" t="str">
        <f>_xlfn.REGEXREPLACE(C3,"[^0-9]","")</f>
        <v>13105553292</v>
      </c>
    </row>
    <row r="4" spans="2:4">
      <c r="B4" s="21" t="s">
        <v>30</v>
      </c>
      <c r="C4" s="22" t="s">
        <v>31</v>
      </c>
      <c r="D4" s="22" t="str">
        <f t="shared" ref="D4:D14" si="0">_xlfn.REGEXREPLACE(C4,"[^0-9]","")</f>
        <v>2124567890</v>
      </c>
    </row>
    <row r="5" spans="2:4">
      <c r="B5" s="21" t="s">
        <v>32</v>
      </c>
      <c r="C5" s="22" t="s">
        <v>33</v>
      </c>
      <c r="D5" s="22" t="str">
        <f t="shared" si="0"/>
        <v>442079460958</v>
      </c>
    </row>
    <row r="6" spans="2:4">
      <c r="B6" s="21" t="s">
        <v>34</v>
      </c>
      <c r="C6" s="22" t="s">
        <v>35</v>
      </c>
      <c r="D6" s="22" t="str">
        <f t="shared" si="0"/>
        <v>81312345678</v>
      </c>
    </row>
    <row r="7" spans="2:4">
      <c r="B7" s="21" t="s">
        <v>36</v>
      </c>
      <c r="C7" s="22" t="s">
        <v>37</v>
      </c>
      <c r="D7" s="22" t="str">
        <f t="shared" si="0"/>
        <v>493098765432</v>
      </c>
    </row>
    <row r="8" spans="2:4">
      <c r="B8" s="21" t="s">
        <v>38</v>
      </c>
      <c r="C8" s="22" t="s">
        <v>39</v>
      </c>
      <c r="D8" s="22" t="str">
        <f t="shared" si="0"/>
        <v>3107779988</v>
      </c>
    </row>
    <row r="9" spans="2:4">
      <c r="B9" s="21" t="s">
        <v>40</v>
      </c>
      <c r="C9" s="22" t="s">
        <v>41</v>
      </c>
      <c r="D9" s="22" t="str">
        <f t="shared" si="0"/>
        <v>2125557788</v>
      </c>
    </row>
    <row r="10" spans="2:4">
      <c r="B10" s="21" t="s">
        <v>42</v>
      </c>
      <c r="C10" s="22" t="s">
        <v>43</v>
      </c>
      <c r="D10" s="22" t="str">
        <f t="shared" si="0"/>
        <v>33144556677</v>
      </c>
    </row>
    <row r="11" spans="2:4">
      <c r="B11" s="21" t="s">
        <v>44</v>
      </c>
      <c r="C11" s="22" t="s">
        <v>45</v>
      </c>
      <c r="D11" s="22" t="str">
        <f t="shared" si="0"/>
        <v>16465550199</v>
      </c>
    </row>
    <row r="12" spans="2:4">
      <c r="B12" s="21" t="s">
        <v>46</v>
      </c>
      <c r="C12" s="22" t="s">
        <v>47</v>
      </c>
      <c r="D12" s="22" t="str">
        <f t="shared" si="0"/>
        <v>85223456789</v>
      </c>
    </row>
    <row r="13" spans="2:4">
      <c r="B13" s="21" t="s">
        <v>48</v>
      </c>
      <c r="C13" s="22" t="s">
        <v>49</v>
      </c>
      <c r="D13" s="22" t="str">
        <f t="shared" si="0"/>
        <v>919876543210</v>
      </c>
    </row>
    <row r="14" spans="2:4">
      <c r="B14" s="21" t="s">
        <v>50</v>
      </c>
      <c r="C14" s="22" t="s">
        <v>51</v>
      </c>
      <c r="D14" s="22" t="str">
        <f t="shared" si="0"/>
        <v>61255501122</v>
      </c>
    </row>
    <row r="15" spans="2:4">
      <c r="C15" s="22"/>
      <c r="D15" s="22"/>
    </row>
    <row r="16" spans="2:4">
      <c r="C16" s="22"/>
      <c r="D16" s="22"/>
    </row>
    <row r="17" spans="3:4">
      <c r="C17" s="22"/>
      <c r="D17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D3F56-2E5A-CF41-AD5A-BFC8CD071314}">
  <dimension ref="B2:C14"/>
  <sheetViews>
    <sheetView zoomScale="130" zoomScaleNormal="130" workbookViewId="0">
      <selection activeCell="C3" sqref="C3"/>
    </sheetView>
  </sheetViews>
  <sheetFormatPr defaultColWidth="11.25" defaultRowHeight="14.45"/>
  <cols>
    <col min="1" max="1" width="5" style="21" customWidth="1"/>
    <col min="2" max="2" width="14" style="21" customWidth="1"/>
    <col min="3" max="3" width="15.5" style="21" customWidth="1"/>
    <col min="4" max="16384" width="11.25" style="21"/>
  </cols>
  <sheetData>
    <row r="2" spans="2:3">
      <c r="B2" s="8" t="s">
        <v>52</v>
      </c>
      <c r="C2" s="8" t="s">
        <v>53</v>
      </c>
    </row>
    <row r="3" spans="2:3">
      <c r="B3" s="9" t="s">
        <v>54</v>
      </c>
      <c r="C3" s="9" t="str">
        <f>_xlfn.REGEXREPLACE(B3, "\d(?=(?:\D*\d){3})", "X")</f>
        <v>XXX-XXX-345</v>
      </c>
    </row>
    <row r="4" spans="2:3">
      <c r="B4" s="9" t="s">
        <v>55</v>
      </c>
      <c r="C4" s="9" t="str">
        <f t="shared" ref="C4:C14" si="0">_xlfn.REGEXREPLACE(B4, "\d(?=(?:\D*\d){3})", "X")</f>
        <v>XXX XXX 900</v>
      </c>
    </row>
    <row r="5" spans="2:3">
      <c r="B5" s="9" t="s">
        <v>56</v>
      </c>
      <c r="C5" s="9" t="str">
        <f t="shared" si="0"/>
        <v>XXX-XXX-444</v>
      </c>
    </row>
    <row r="6" spans="2:3">
      <c r="B6" s="9" t="s">
        <v>57</v>
      </c>
      <c r="C6" s="9" t="str">
        <f t="shared" si="0"/>
        <v>XXX XXX 124</v>
      </c>
    </row>
    <row r="7" spans="2:3">
      <c r="B7" s="9" t="s">
        <v>58</v>
      </c>
      <c r="C7" s="9" t="str">
        <f t="shared" si="0"/>
        <v>XXX-XXX-777</v>
      </c>
    </row>
    <row r="8" spans="2:3">
      <c r="B8" s="9" t="s">
        <v>59</v>
      </c>
      <c r="C8" s="9" t="str">
        <f t="shared" si="0"/>
        <v>XXX-XXX-333</v>
      </c>
    </row>
    <row r="9" spans="2:3">
      <c r="B9" s="9" t="s">
        <v>60</v>
      </c>
      <c r="C9" s="9" t="str">
        <f t="shared" si="0"/>
        <v>XXX-XXX-335</v>
      </c>
    </row>
    <row r="10" spans="2:3">
      <c r="B10" s="9" t="s">
        <v>61</v>
      </c>
      <c r="C10" s="9" t="str">
        <f t="shared" si="0"/>
        <v>XXX-XXX-000</v>
      </c>
    </row>
    <row r="11" spans="2:3">
      <c r="B11" s="9" t="s">
        <v>62</v>
      </c>
      <c r="C11" s="9" t="str">
        <f t="shared" si="0"/>
        <v>XXX XXX 678</v>
      </c>
    </row>
    <row r="12" spans="2:3">
      <c r="B12" s="9" t="s">
        <v>56</v>
      </c>
      <c r="C12" s="9" t="str">
        <f t="shared" si="0"/>
        <v>XXX-XXX-444</v>
      </c>
    </row>
    <row r="13" spans="2:3">
      <c r="B13" s="9" t="s">
        <v>63</v>
      </c>
      <c r="C13" s="9" t="str">
        <f t="shared" si="0"/>
        <v>XXX-XXX-888</v>
      </c>
    </row>
    <row r="14" spans="2:3">
      <c r="B14" s="9" t="s">
        <v>64</v>
      </c>
      <c r="C14" s="9" t="str">
        <f t="shared" si="0"/>
        <v>XXX XXX 555</v>
      </c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C1AB0-876C-7943-B844-18645137AEA9}">
  <dimension ref="B2:N22"/>
  <sheetViews>
    <sheetView zoomScale="130" zoomScaleNormal="130" workbookViewId="0">
      <selection activeCell="J10" sqref="J10"/>
    </sheetView>
  </sheetViews>
  <sheetFormatPr defaultColWidth="8.75" defaultRowHeight="14.45"/>
  <cols>
    <col min="1" max="1" width="3" style="18" customWidth="1"/>
    <col min="2" max="2" width="9.25" style="18" bestFit="1" customWidth="1"/>
    <col min="3" max="4" width="8.75" style="18"/>
    <col min="5" max="5" width="5.25" style="18" bestFit="1" customWidth="1"/>
    <col min="6" max="6" width="8.75" style="18"/>
    <col min="7" max="8" width="8.25" style="18" bestFit="1" customWidth="1"/>
    <col min="9" max="10" width="8.75" style="18"/>
    <col min="11" max="11" width="8.75" style="20"/>
    <col min="12" max="16384" width="8.75" style="18"/>
  </cols>
  <sheetData>
    <row r="2" spans="2:14" s="16" customFormat="1">
      <c r="B2" s="15" t="s">
        <v>65</v>
      </c>
      <c r="C2" s="15" t="s">
        <v>66</v>
      </c>
      <c r="D2" s="15" t="s">
        <v>67</v>
      </c>
      <c r="E2" s="15" t="s">
        <v>68</v>
      </c>
      <c r="F2" s="15" t="s">
        <v>69</v>
      </c>
      <c r="G2" s="15" t="s">
        <v>70</v>
      </c>
      <c r="H2" s="15" t="s">
        <v>71</v>
      </c>
      <c r="J2" s="16" t="str" cm="1">
        <f t="array" ref="J2:K6">_xlfn.GROUPBY(C2:C22,G2:G22,_xleta.SUM,3,0,-2)</f>
        <v>Region</v>
      </c>
      <c r="K2" s="17" t="str">
        <v>Revenue</v>
      </c>
    </row>
    <row r="3" spans="2:14">
      <c r="B3" s="18" t="s">
        <v>28</v>
      </c>
      <c r="C3" s="18" t="s">
        <v>72</v>
      </c>
      <c r="D3" s="18" t="s">
        <v>73</v>
      </c>
      <c r="E3" s="19">
        <v>6</v>
      </c>
      <c r="F3" s="19">
        <v>490</v>
      </c>
      <c r="G3" s="20">
        <f>E3*F3</f>
        <v>2940</v>
      </c>
      <c r="H3" s="18" t="s">
        <v>74</v>
      </c>
      <c r="J3" s="18" t="str">
        <v>North America</v>
      </c>
      <c r="K3" s="20">
        <v>10809</v>
      </c>
    </row>
    <row r="4" spans="2:14">
      <c r="B4" s="18" t="s">
        <v>28</v>
      </c>
      <c r="C4" s="18" t="s">
        <v>75</v>
      </c>
      <c r="D4" s="18" t="s">
        <v>76</v>
      </c>
      <c r="E4" s="19">
        <v>3</v>
      </c>
      <c r="F4" s="19">
        <v>481</v>
      </c>
      <c r="G4" s="20">
        <f t="shared" ref="G4:G22" si="0">E4*F4</f>
        <v>1443</v>
      </c>
      <c r="H4" s="18" t="s">
        <v>77</v>
      </c>
      <c r="J4" s="18" t="str">
        <v>Europe</v>
      </c>
      <c r="K4" s="20">
        <v>8328</v>
      </c>
    </row>
    <row r="5" spans="2:14">
      <c r="B5" s="18" t="s">
        <v>78</v>
      </c>
      <c r="C5" s="18" t="s">
        <v>79</v>
      </c>
      <c r="D5" s="18" t="s">
        <v>80</v>
      </c>
      <c r="E5" s="19">
        <v>7</v>
      </c>
      <c r="F5" s="19">
        <v>344</v>
      </c>
      <c r="G5" s="20">
        <f t="shared" si="0"/>
        <v>2408</v>
      </c>
      <c r="H5" s="18" t="s">
        <v>74</v>
      </c>
      <c r="J5" s="18" t="str">
        <v>Asia</v>
      </c>
      <c r="K5" s="20">
        <v>7721</v>
      </c>
    </row>
    <row r="6" spans="2:14">
      <c r="B6" s="18" t="s">
        <v>81</v>
      </c>
      <c r="C6" s="18" t="s">
        <v>72</v>
      </c>
      <c r="D6" s="18" t="s">
        <v>73</v>
      </c>
      <c r="E6" s="19">
        <v>9</v>
      </c>
      <c r="F6" s="19">
        <v>39</v>
      </c>
      <c r="G6" s="20">
        <f t="shared" si="0"/>
        <v>351</v>
      </c>
      <c r="H6" s="18" t="s">
        <v>82</v>
      </c>
      <c r="J6" s="18" t="str">
        <v>Australia</v>
      </c>
      <c r="K6" s="20">
        <v>2408</v>
      </c>
    </row>
    <row r="7" spans="2:14">
      <c r="B7" s="18" t="s">
        <v>50</v>
      </c>
      <c r="C7" s="18" t="s">
        <v>79</v>
      </c>
      <c r="D7" s="18" t="s">
        <v>83</v>
      </c>
      <c r="E7" s="19">
        <v>8</v>
      </c>
      <c r="F7" s="19">
        <v>256</v>
      </c>
      <c r="G7" s="20">
        <f t="shared" si="0"/>
        <v>2048</v>
      </c>
      <c r="H7" s="18" t="s">
        <v>77</v>
      </c>
    </row>
    <row r="8" spans="2:14">
      <c r="B8" s="18" t="s">
        <v>84</v>
      </c>
      <c r="C8" s="18" t="s">
        <v>85</v>
      </c>
      <c r="D8" s="18" t="s">
        <v>83</v>
      </c>
      <c r="E8" s="19">
        <v>6</v>
      </c>
      <c r="F8" s="19">
        <v>115</v>
      </c>
      <c r="G8" s="20">
        <f t="shared" si="0"/>
        <v>690</v>
      </c>
      <c r="H8" s="18" t="s">
        <v>77</v>
      </c>
    </row>
    <row r="9" spans="2:14">
      <c r="B9" s="18" t="s">
        <v>81</v>
      </c>
      <c r="C9" s="18" t="s">
        <v>79</v>
      </c>
      <c r="D9" s="18" t="s">
        <v>86</v>
      </c>
      <c r="E9" s="19">
        <v>8</v>
      </c>
      <c r="F9" s="19">
        <v>60</v>
      </c>
      <c r="G9" s="20">
        <f t="shared" si="0"/>
        <v>480</v>
      </c>
      <c r="H9" s="18" t="s">
        <v>77</v>
      </c>
      <c r="J9" s="18" t="str" cm="1">
        <f t="array" ref="J9:N14">_xlfn.PIVOTBY(C2:C22,H2:H22,G2:G22,_xleta.SUM)</f>
        <v/>
      </c>
      <c r="K9" s="20" t="str">
        <v>Card</v>
      </c>
      <c r="L9" s="18" t="str">
        <v>PayPal</v>
      </c>
      <c r="M9" s="18" t="str">
        <v>Transfer</v>
      </c>
      <c r="N9" s="18" t="str">
        <v>Total</v>
      </c>
    </row>
    <row r="10" spans="2:14">
      <c r="B10" s="18" t="s">
        <v>87</v>
      </c>
      <c r="C10" s="18" t="s">
        <v>85</v>
      </c>
      <c r="D10" s="18" t="s">
        <v>80</v>
      </c>
      <c r="E10" s="19">
        <v>5</v>
      </c>
      <c r="F10" s="19">
        <v>90</v>
      </c>
      <c r="G10" s="20">
        <f t="shared" si="0"/>
        <v>450</v>
      </c>
      <c r="H10" s="18" t="s">
        <v>77</v>
      </c>
      <c r="J10" s="18" t="str">
        <v>Asia</v>
      </c>
      <c r="K10" s="20">
        <v>2940</v>
      </c>
      <c r="L10" s="18">
        <v>351</v>
      </c>
      <c r="M10" s="18">
        <v>4430</v>
      </c>
      <c r="N10" s="18">
        <v>7721</v>
      </c>
    </row>
    <row r="11" spans="2:14">
      <c r="B11" s="18" t="s">
        <v>78</v>
      </c>
      <c r="C11" s="18" t="s">
        <v>79</v>
      </c>
      <c r="D11" s="18" t="s">
        <v>80</v>
      </c>
      <c r="E11" s="19">
        <v>8</v>
      </c>
      <c r="F11" s="19">
        <v>142</v>
      </c>
      <c r="G11" s="20">
        <f t="shared" si="0"/>
        <v>1136</v>
      </c>
      <c r="H11" s="18" t="s">
        <v>82</v>
      </c>
      <c r="J11" s="18" t="str">
        <v>Australia</v>
      </c>
      <c r="K11" s="20" t="str">
        <v/>
      </c>
      <c r="L11" s="18" t="str">
        <v/>
      </c>
      <c r="M11" s="18">
        <v>2408</v>
      </c>
      <c r="N11" s="18">
        <v>2408</v>
      </c>
    </row>
    <row r="12" spans="2:14">
      <c r="B12" s="18" t="s">
        <v>88</v>
      </c>
      <c r="C12" s="18" t="s">
        <v>72</v>
      </c>
      <c r="D12" s="18" t="s">
        <v>86</v>
      </c>
      <c r="E12" s="19">
        <v>4</v>
      </c>
      <c r="F12" s="19">
        <v>294</v>
      </c>
      <c r="G12" s="20">
        <f t="shared" si="0"/>
        <v>1176</v>
      </c>
      <c r="H12" s="18" t="s">
        <v>77</v>
      </c>
      <c r="J12" s="18" t="str">
        <v>Europe</v>
      </c>
      <c r="K12" s="20">
        <v>2408</v>
      </c>
      <c r="L12" s="18">
        <v>3392</v>
      </c>
      <c r="M12" s="18">
        <v>2528</v>
      </c>
      <c r="N12" s="18">
        <v>8328</v>
      </c>
    </row>
    <row r="13" spans="2:14">
      <c r="B13" s="18" t="s">
        <v>84</v>
      </c>
      <c r="C13" s="18" t="s">
        <v>72</v>
      </c>
      <c r="D13" s="18" t="s">
        <v>73</v>
      </c>
      <c r="E13" s="19">
        <v>8</v>
      </c>
      <c r="F13" s="19">
        <v>397</v>
      </c>
      <c r="G13" s="20">
        <f t="shared" si="0"/>
        <v>3176</v>
      </c>
      <c r="H13" s="18" t="s">
        <v>77</v>
      </c>
      <c r="J13" s="18" t="str">
        <v>North America</v>
      </c>
      <c r="K13" s="20">
        <v>294</v>
      </c>
      <c r="L13" s="18">
        <v>5046</v>
      </c>
      <c r="M13" s="18">
        <v>5469</v>
      </c>
      <c r="N13" s="18">
        <v>10809</v>
      </c>
    </row>
    <row r="14" spans="2:14">
      <c r="B14" s="18" t="s">
        <v>89</v>
      </c>
      <c r="C14" s="18" t="s">
        <v>85</v>
      </c>
      <c r="D14" s="18" t="s">
        <v>80</v>
      </c>
      <c r="E14" s="19">
        <v>2</v>
      </c>
      <c r="F14" s="19">
        <v>147</v>
      </c>
      <c r="G14" s="20">
        <f t="shared" si="0"/>
        <v>294</v>
      </c>
      <c r="H14" s="18" t="s">
        <v>74</v>
      </c>
      <c r="J14" s="18" t="str">
        <v>Total</v>
      </c>
      <c r="K14" s="20">
        <v>5642</v>
      </c>
      <c r="L14" s="18">
        <v>8789</v>
      </c>
      <c r="M14" s="18">
        <v>14835</v>
      </c>
      <c r="N14" s="18">
        <v>29266</v>
      </c>
    </row>
    <row r="15" spans="2:14">
      <c r="B15" s="18" t="s">
        <v>88</v>
      </c>
      <c r="C15" s="18" t="s">
        <v>75</v>
      </c>
      <c r="D15" s="18" t="s">
        <v>83</v>
      </c>
      <c r="E15" s="19">
        <v>5</v>
      </c>
      <c r="F15" s="19">
        <v>193</v>
      </c>
      <c r="G15" s="20">
        <f t="shared" si="0"/>
        <v>965</v>
      </c>
      <c r="H15" s="18" t="s">
        <v>77</v>
      </c>
    </row>
    <row r="16" spans="2:14">
      <c r="B16" s="18" t="s">
        <v>84</v>
      </c>
      <c r="C16" s="18" t="s">
        <v>85</v>
      </c>
      <c r="D16" s="18" t="s">
        <v>83</v>
      </c>
      <c r="E16" s="19">
        <v>9</v>
      </c>
      <c r="F16" s="19">
        <v>410</v>
      </c>
      <c r="G16" s="20">
        <f t="shared" si="0"/>
        <v>3690</v>
      </c>
      <c r="H16" s="18" t="s">
        <v>82</v>
      </c>
    </row>
    <row r="17" spans="2:8">
      <c r="B17" s="18" t="s">
        <v>90</v>
      </c>
      <c r="C17" s="18" t="s">
        <v>85</v>
      </c>
      <c r="D17" s="18" t="s">
        <v>76</v>
      </c>
      <c r="E17" s="19">
        <v>4</v>
      </c>
      <c r="F17" s="19">
        <v>339</v>
      </c>
      <c r="G17" s="20">
        <f t="shared" si="0"/>
        <v>1356</v>
      </c>
      <c r="H17" s="18" t="s">
        <v>82</v>
      </c>
    </row>
    <row r="18" spans="2:8">
      <c r="B18" s="18" t="s">
        <v>88</v>
      </c>
      <c r="C18" s="18" t="s">
        <v>79</v>
      </c>
      <c r="D18" s="18" t="s">
        <v>80</v>
      </c>
      <c r="E18" s="19">
        <v>6</v>
      </c>
      <c r="F18" s="19">
        <v>282</v>
      </c>
      <c r="G18" s="20">
        <f t="shared" si="0"/>
        <v>1692</v>
      </c>
      <c r="H18" s="18" t="s">
        <v>82</v>
      </c>
    </row>
    <row r="19" spans="2:8">
      <c r="B19" s="18" t="s">
        <v>78</v>
      </c>
      <c r="C19" s="18" t="s">
        <v>79</v>
      </c>
      <c r="D19" s="18" t="s">
        <v>73</v>
      </c>
      <c r="E19" s="19">
        <v>1</v>
      </c>
      <c r="F19" s="19">
        <v>349</v>
      </c>
      <c r="G19" s="20">
        <f t="shared" si="0"/>
        <v>349</v>
      </c>
      <c r="H19" s="18" t="s">
        <v>82</v>
      </c>
    </row>
    <row r="20" spans="2:8">
      <c r="B20" s="18" t="s">
        <v>84</v>
      </c>
      <c r="C20" s="18" t="s">
        <v>85</v>
      </c>
      <c r="D20" s="18" t="s">
        <v>86</v>
      </c>
      <c r="E20" s="19">
        <v>9</v>
      </c>
      <c r="F20" s="19">
        <v>481</v>
      </c>
      <c r="G20" s="20">
        <f t="shared" si="0"/>
        <v>4329</v>
      </c>
      <c r="H20" s="18" t="s">
        <v>77</v>
      </c>
    </row>
    <row r="21" spans="2:8">
      <c r="B21" s="18" t="s">
        <v>91</v>
      </c>
      <c r="C21" s="18" t="s">
        <v>72</v>
      </c>
      <c r="D21" s="18" t="s">
        <v>86</v>
      </c>
      <c r="E21" s="19">
        <v>1</v>
      </c>
      <c r="F21" s="19">
        <v>78</v>
      </c>
      <c r="G21" s="20">
        <f t="shared" si="0"/>
        <v>78</v>
      </c>
      <c r="H21" s="18" t="s">
        <v>77</v>
      </c>
    </row>
    <row r="22" spans="2:8">
      <c r="B22" s="18" t="s">
        <v>89</v>
      </c>
      <c r="C22" s="18" t="s">
        <v>79</v>
      </c>
      <c r="D22" s="18" t="s">
        <v>73</v>
      </c>
      <c r="E22" s="19">
        <v>5</v>
      </c>
      <c r="F22" s="19">
        <v>43</v>
      </c>
      <c r="G22" s="20">
        <f t="shared" si="0"/>
        <v>215</v>
      </c>
      <c r="H22" s="18" t="s">
        <v>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74863-5D9E-D241-B926-3AF41CD29956}">
  <dimension ref="B1:N50"/>
  <sheetViews>
    <sheetView topLeftCell="D1" zoomScale="130" zoomScaleNormal="130" workbookViewId="0">
      <selection activeCell="I4" sqref="I4"/>
    </sheetView>
  </sheetViews>
  <sheetFormatPr defaultColWidth="10.75" defaultRowHeight="14.45"/>
  <cols>
    <col min="1" max="1" width="3.75" style="9" customWidth="1"/>
    <col min="2" max="2" width="5.25" style="9" bestFit="1" customWidth="1"/>
    <col min="3" max="3" width="15.25" style="10" customWidth="1"/>
    <col min="4" max="4" width="12.75" style="10" customWidth="1"/>
    <col min="5" max="5" width="14.5" style="10" customWidth="1"/>
    <col min="6" max="6" width="10.25" style="10" bestFit="1" customWidth="1"/>
    <col min="7" max="7" width="9" style="9" bestFit="1" customWidth="1"/>
    <col min="8" max="8" width="5.5" style="9" customWidth="1"/>
    <col min="9" max="9" width="9" style="9" bestFit="1" customWidth="1"/>
    <col min="10" max="10" width="17.5" style="9" bestFit="1" customWidth="1"/>
    <col min="11" max="11" width="11" style="9" bestFit="1" customWidth="1"/>
    <col min="12" max="12" width="16.125" style="9" bestFit="1" customWidth="1"/>
    <col min="13" max="16384" width="10.75" style="9"/>
  </cols>
  <sheetData>
    <row r="1" spans="2:14">
      <c r="C1" s="9"/>
    </row>
    <row r="2" spans="2:14">
      <c r="B2" s="8" t="s">
        <v>92</v>
      </c>
      <c r="C2" s="11" t="s">
        <v>25</v>
      </c>
      <c r="D2" s="11" t="s">
        <v>93</v>
      </c>
      <c r="E2" s="11" t="s">
        <v>94</v>
      </c>
      <c r="F2" s="11" t="s">
        <v>95</v>
      </c>
      <c r="G2" s="8" t="s">
        <v>96</v>
      </c>
      <c r="I2" s="12" t="s">
        <v>97</v>
      </c>
      <c r="J2" s="13" t="s">
        <v>98</v>
      </c>
    </row>
    <row r="3" spans="2:14">
      <c r="B3" s="9">
        <v>1</v>
      </c>
      <c r="C3" s="10" t="s">
        <v>99</v>
      </c>
      <c r="D3" s="10" t="s">
        <v>100</v>
      </c>
      <c r="E3" s="10" t="s">
        <v>101</v>
      </c>
      <c r="F3" s="10" t="s">
        <v>102</v>
      </c>
      <c r="G3" s="14">
        <v>211000</v>
      </c>
    </row>
    <row r="4" spans="2:14">
      <c r="B4" s="9">
        <v>2</v>
      </c>
      <c r="C4" s="10" t="s">
        <v>103</v>
      </c>
      <c r="D4" s="10" t="s">
        <v>98</v>
      </c>
      <c r="E4" s="10" t="s">
        <v>104</v>
      </c>
      <c r="F4" s="10" t="s">
        <v>105</v>
      </c>
      <c r="G4" s="14">
        <v>180000</v>
      </c>
      <c r="I4" s="9" cm="1">
        <f t="array" ref="I4:N20">_xlfn._xlws.FILTER(B2:G32,D2:D32=J2)</f>
        <v>2</v>
      </c>
      <c r="J4" s="9" t="str">
        <v>Elon Musk</v>
      </c>
      <c r="K4" s="9" t="str">
        <v>United States</v>
      </c>
      <c r="L4" s="9" t="str">
        <v>Tesla, SpaceX</v>
      </c>
      <c r="M4" s="9" t="str">
        <v>Automotive</v>
      </c>
      <c r="N4" s="9">
        <v>180000</v>
      </c>
    </row>
    <row r="5" spans="2:14">
      <c r="B5" s="9">
        <v>3</v>
      </c>
      <c r="C5" s="10" t="s">
        <v>106</v>
      </c>
      <c r="D5" s="10" t="s">
        <v>98</v>
      </c>
      <c r="E5" s="10" t="s">
        <v>107</v>
      </c>
      <c r="F5" s="10" t="s">
        <v>108</v>
      </c>
      <c r="G5" s="14">
        <v>114000</v>
      </c>
      <c r="I5" s="9">
        <v>3</v>
      </c>
      <c r="J5" s="9" t="str">
        <v>Jeff Bezos</v>
      </c>
      <c r="K5" s="9" t="str">
        <v>United States</v>
      </c>
      <c r="L5" s="9" t="str">
        <v>Amazon</v>
      </c>
      <c r="M5" s="9" t="str">
        <v>Technology</v>
      </c>
      <c r="N5" s="9">
        <v>114000</v>
      </c>
    </row>
    <row r="6" spans="2:14">
      <c r="B6" s="9">
        <v>4</v>
      </c>
      <c r="C6" s="10" t="s">
        <v>109</v>
      </c>
      <c r="D6" s="10" t="s">
        <v>98</v>
      </c>
      <c r="E6" s="10" t="s">
        <v>110</v>
      </c>
      <c r="F6" s="10" t="s">
        <v>108</v>
      </c>
      <c r="G6" s="14">
        <v>107000</v>
      </c>
      <c r="I6" s="9">
        <v>4</v>
      </c>
      <c r="J6" s="9" t="str">
        <v>Larry Ellison</v>
      </c>
      <c r="K6" s="9" t="str">
        <v>United States</v>
      </c>
      <c r="L6" s="9" t="str">
        <v>Oracle</v>
      </c>
      <c r="M6" s="9" t="str">
        <v>Technology</v>
      </c>
      <c r="N6" s="9">
        <v>107000</v>
      </c>
    </row>
    <row r="7" spans="2:14">
      <c r="B7" s="9">
        <v>5</v>
      </c>
      <c r="C7" s="10" t="s">
        <v>111</v>
      </c>
      <c r="D7" s="10" t="s">
        <v>98</v>
      </c>
      <c r="E7" s="10" t="s">
        <v>112</v>
      </c>
      <c r="F7" s="10" t="s">
        <v>113</v>
      </c>
      <c r="G7" s="14">
        <v>106000</v>
      </c>
      <c r="I7" s="9">
        <v>5</v>
      </c>
      <c r="J7" s="9" t="str">
        <v>Warren Buffett</v>
      </c>
      <c r="K7" s="9" t="str">
        <v>United States</v>
      </c>
      <c r="L7" s="9" t="str">
        <v>Berkshire Hathaway</v>
      </c>
      <c r="M7" s="9" t="str">
        <v>Finance</v>
      </c>
      <c r="N7" s="9">
        <v>106000</v>
      </c>
    </row>
    <row r="8" spans="2:14">
      <c r="B8" s="9">
        <v>6</v>
      </c>
      <c r="C8" s="10" t="s">
        <v>114</v>
      </c>
      <c r="D8" s="10" t="s">
        <v>98</v>
      </c>
      <c r="E8" s="10" t="s">
        <v>115</v>
      </c>
      <c r="F8" s="10" t="s">
        <v>108</v>
      </c>
      <c r="G8" s="14">
        <v>104000</v>
      </c>
      <c r="I8" s="9">
        <v>6</v>
      </c>
      <c r="J8" s="9" t="str">
        <v>Bill Gates</v>
      </c>
      <c r="K8" s="9" t="str">
        <v>United States</v>
      </c>
      <c r="L8" s="9" t="str">
        <v>Microsoft</v>
      </c>
      <c r="M8" s="9" t="str">
        <v>Technology</v>
      </c>
      <c r="N8" s="9">
        <v>104000</v>
      </c>
    </row>
    <row r="9" spans="2:14">
      <c r="B9" s="9">
        <v>7</v>
      </c>
      <c r="C9" s="10" t="s">
        <v>116</v>
      </c>
      <c r="D9" s="10" t="s">
        <v>98</v>
      </c>
      <c r="E9" s="10" t="s">
        <v>117</v>
      </c>
      <c r="F9" s="10" t="s">
        <v>118</v>
      </c>
      <c r="G9" s="14">
        <v>94500</v>
      </c>
      <c r="I9" s="9">
        <v>7</v>
      </c>
      <c r="J9" s="9" t="str">
        <v>Michael Bloomberg</v>
      </c>
      <c r="K9" s="9" t="str">
        <v>United States</v>
      </c>
      <c r="L9" s="9" t="str">
        <v>Bloomberg LP</v>
      </c>
      <c r="M9" s="9" t="str">
        <v>Media</v>
      </c>
      <c r="N9" s="9">
        <v>94500</v>
      </c>
    </row>
    <row r="10" spans="2:14">
      <c r="B10" s="9">
        <v>8</v>
      </c>
      <c r="C10" s="10" t="s">
        <v>119</v>
      </c>
      <c r="D10" s="10" t="s">
        <v>120</v>
      </c>
      <c r="E10" s="10" t="s">
        <v>121</v>
      </c>
      <c r="F10" s="10" t="s">
        <v>121</v>
      </c>
      <c r="G10" s="14">
        <v>93000</v>
      </c>
      <c r="I10" s="9">
        <v>10</v>
      </c>
      <c r="J10" s="9" t="str">
        <v>Steve Ballmer</v>
      </c>
      <c r="K10" s="9" t="str">
        <v>United States</v>
      </c>
      <c r="L10" s="9" t="str">
        <v>Microsoft</v>
      </c>
      <c r="M10" s="9" t="str">
        <v>Technology</v>
      </c>
      <c r="N10" s="9">
        <v>80700</v>
      </c>
    </row>
    <row r="11" spans="2:14">
      <c r="B11" s="9">
        <v>9</v>
      </c>
      <c r="C11" s="10" t="s">
        <v>122</v>
      </c>
      <c r="D11" s="10" t="s">
        <v>123</v>
      </c>
      <c r="E11" s="10" t="s">
        <v>124</v>
      </c>
      <c r="F11" s="10" t="s">
        <v>124</v>
      </c>
      <c r="G11" s="14">
        <v>83400</v>
      </c>
      <c r="I11" s="9">
        <v>12</v>
      </c>
      <c r="J11" s="9" t="str">
        <v>Larry Page</v>
      </c>
      <c r="K11" s="9" t="str">
        <v>United States</v>
      </c>
      <c r="L11" s="9" t="str">
        <v>Google</v>
      </c>
      <c r="M11" s="9" t="str">
        <v>Technology</v>
      </c>
      <c r="N11" s="9">
        <v>79200</v>
      </c>
    </row>
    <row r="12" spans="2:14">
      <c r="B12" s="9">
        <v>10</v>
      </c>
      <c r="C12" s="10" t="s">
        <v>125</v>
      </c>
      <c r="D12" s="10" t="s">
        <v>98</v>
      </c>
      <c r="E12" s="10" t="s">
        <v>115</v>
      </c>
      <c r="F12" s="10" t="s">
        <v>108</v>
      </c>
      <c r="G12" s="14">
        <v>80700</v>
      </c>
      <c r="I12" s="9">
        <v>14</v>
      </c>
      <c r="J12" s="9" t="str">
        <v>Sergey Brin</v>
      </c>
      <c r="K12" s="9" t="str">
        <v>United States</v>
      </c>
      <c r="L12" s="9" t="str">
        <v>Google</v>
      </c>
      <c r="M12" s="9" t="str">
        <v>Technology</v>
      </c>
      <c r="N12" s="9">
        <v>76000</v>
      </c>
    </row>
    <row r="13" spans="2:14">
      <c r="B13" s="9">
        <v>11</v>
      </c>
      <c r="C13" s="10" t="s">
        <v>126</v>
      </c>
      <c r="D13" s="10" t="s">
        <v>100</v>
      </c>
      <c r="E13" s="10" t="s">
        <v>127</v>
      </c>
      <c r="F13" s="10" t="s">
        <v>102</v>
      </c>
      <c r="G13" s="14">
        <v>80500</v>
      </c>
      <c r="I13" s="9">
        <v>16</v>
      </c>
      <c r="J13" s="9" t="str">
        <v>Mark Zuckerberg</v>
      </c>
      <c r="K13" s="9" t="str">
        <v>United States</v>
      </c>
      <c r="L13" s="9" t="str">
        <v>Facebook</v>
      </c>
      <c r="M13" s="9" t="str">
        <v>Technology</v>
      </c>
      <c r="N13" s="9">
        <v>64400</v>
      </c>
    </row>
    <row r="14" spans="2:14">
      <c r="B14" s="9">
        <v>12</v>
      </c>
      <c r="C14" s="10" t="s">
        <v>128</v>
      </c>
      <c r="D14" s="10" t="s">
        <v>98</v>
      </c>
      <c r="E14" s="10" t="s">
        <v>129</v>
      </c>
      <c r="F14" s="10" t="s">
        <v>108</v>
      </c>
      <c r="G14" s="14">
        <v>79200</v>
      </c>
      <c r="I14" s="9">
        <v>17</v>
      </c>
      <c r="J14" s="9" t="str">
        <v>Charles Koch &amp; family</v>
      </c>
      <c r="K14" s="9" t="str">
        <v>United States</v>
      </c>
      <c r="L14" s="9" t="str">
        <v>Koch Industries</v>
      </c>
      <c r="M14" s="9" t="str">
        <v>Diversified</v>
      </c>
      <c r="N14" s="9">
        <v>59000</v>
      </c>
    </row>
    <row r="15" spans="2:14">
      <c r="B15" s="9">
        <v>13</v>
      </c>
      <c r="C15" s="10" t="s">
        <v>130</v>
      </c>
      <c r="D15" s="10" t="s">
        <v>131</v>
      </c>
      <c r="E15" s="10" t="s">
        <v>132</v>
      </c>
      <c r="F15" s="10" t="s">
        <v>102</v>
      </c>
      <c r="G15" s="14">
        <v>77300</v>
      </c>
      <c r="I15" s="9">
        <v>17</v>
      </c>
      <c r="J15" s="9" t="str">
        <v>Julia Koch &amp; family</v>
      </c>
      <c r="K15" s="9" t="str">
        <v>United States</v>
      </c>
      <c r="L15" s="9" t="str">
        <v>Koch Industries</v>
      </c>
      <c r="M15" s="9" t="str">
        <v>Diversified</v>
      </c>
      <c r="N15" s="9">
        <v>59000</v>
      </c>
    </row>
    <row r="16" spans="2:14">
      <c r="B16" s="9">
        <v>14</v>
      </c>
      <c r="C16" s="10" t="s">
        <v>133</v>
      </c>
      <c r="D16" s="10" t="s">
        <v>98</v>
      </c>
      <c r="E16" s="10" t="s">
        <v>129</v>
      </c>
      <c r="F16" s="10" t="s">
        <v>108</v>
      </c>
      <c r="G16" s="14">
        <v>76000</v>
      </c>
      <c r="I16" s="9">
        <v>19</v>
      </c>
      <c r="J16" s="9" t="str">
        <v>Jim Walton</v>
      </c>
      <c r="K16" s="9" t="str">
        <v>United States</v>
      </c>
      <c r="L16" s="9" t="str">
        <v>Walmart</v>
      </c>
      <c r="M16" s="9" t="str">
        <v>Retail</v>
      </c>
      <c r="N16" s="9">
        <v>58800</v>
      </c>
    </row>
    <row r="17" spans="2:14">
      <c r="B17" s="9">
        <v>15</v>
      </c>
      <c r="C17" s="10" t="s">
        <v>134</v>
      </c>
      <c r="D17" s="10" t="s">
        <v>135</v>
      </c>
      <c r="E17" s="10" t="s">
        <v>136</v>
      </c>
      <c r="F17" s="10" t="s">
        <v>137</v>
      </c>
      <c r="G17" s="14">
        <v>68000</v>
      </c>
      <c r="I17" s="9">
        <v>20</v>
      </c>
      <c r="J17" s="9" t="str">
        <v>Rob Walton &amp; family</v>
      </c>
      <c r="K17" s="9" t="str">
        <v>United States</v>
      </c>
      <c r="L17" s="9" t="str">
        <v>Walmart</v>
      </c>
      <c r="M17" s="9" t="str">
        <v>Retail</v>
      </c>
      <c r="N17" s="9">
        <v>57600</v>
      </c>
    </row>
    <row r="18" spans="2:14">
      <c r="B18" s="9">
        <v>16</v>
      </c>
      <c r="C18" s="10" t="s">
        <v>138</v>
      </c>
      <c r="D18" s="10" t="s">
        <v>98</v>
      </c>
      <c r="E18" s="10" t="s">
        <v>139</v>
      </c>
      <c r="F18" s="10" t="s">
        <v>108</v>
      </c>
      <c r="G18" s="14">
        <v>64400</v>
      </c>
      <c r="I18" s="9">
        <v>21</v>
      </c>
      <c r="J18" s="9" t="str">
        <v>Alice Walton</v>
      </c>
      <c r="K18" s="9" t="str">
        <v>United States</v>
      </c>
      <c r="L18" s="9" t="str">
        <v>Walmart</v>
      </c>
      <c r="M18" s="9" t="str">
        <v>Retail</v>
      </c>
      <c r="N18" s="9">
        <v>56700</v>
      </c>
    </row>
    <row r="19" spans="2:14">
      <c r="B19" s="9">
        <v>17</v>
      </c>
      <c r="C19" s="10" t="s">
        <v>140</v>
      </c>
      <c r="D19" s="10" t="s">
        <v>98</v>
      </c>
      <c r="E19" s="10" t="s">
        <v>141</v>
      </c>
      <c r="F19" s="10" t="s">
        <v>124</v>
      </c>
      <c r="G19" s="14">
        <v>59000</v>
      </c>
      <c r="I19" s="9">
        <v>23</v>
      </c>
      <c r="J19" s="9" t="str">
        <v>Michael Dell</v>
      </c>
      <c r="K19" s="9" t="str">
        <v>United States</v>
      </c>
      <c r="L19" s="9" t="str">
        <v>Dell Technologies</v>
      </c>
      <c r="M19" s="9" t="str">
        <v>Technology</v>
      </c>
      <c r="N19" s="9">
        <v>50100</v>
      </c>
    </row>
    <row r="20" spans="2:14">
      <c r="B20" s="9">
        <v>17</v>
      </c>
      <c r="C20" s="10" t="s">
        <v>142</v>
      </c>
      <c r="D20" s="10" t="s">
        <v>98</v>
      </c>
      <c r="E20" s="10" t="s">
        <v>141</v>
      </c>
      <c r="F20" s="10" t="s">
        <v>124</v>
      </c>
      <c r="G20" s="14">
        <v>59000</v>
      </c>
      <c r="I20" s="9">
        <v>25</v>
      </c>
      <c r="J20" s="9" t="str">
        <v>Phil Knight &amp; family</v>
      </c>
      <c r="K20" s="9" t="str">
        <v>United States</v>
      </c>
      <c r="L20" s="9" t="str">
        <v>Nike</v>
      </c>
      <c r="M20" s="9" t="str">
        <v>Retail</v>
      </c>
      <c r="N20" s="9">
        <v>45100</v>
      </c>
    </row>
    <row r="21" spans="2:14">
      <c r="B21" s="9">
        <v>19</v>
      </c>
      <c r="C21" s="10" t="s">
        <v>143</v>
      </c>
      <c r="D21" s="10" t="s">
        <v>98</v>
      </c>
      <c r="E21" s="10" t="s">
        <v>144</v>
      </c>
      <c r="F21" s="10" t="s">
        <v>102</v>
      </c>
      <c r="G21" s="14">
        <v>58800</v>
      </c>
    </row>
    <row r="22" spans="2:14">
      <c r="B22" s="9">
        <v>20</v>
      </c>
      <c r="C22" s="10" t="s">
        <v>145</v>
      </c>
      <c r="D22" s="10" t="s">
        <v>98</v>
      </c>
      <c r="E22" s="10" t="s">
        <v>144</v>
      </c>
      <c r="F22" s="10" t="s">
        <v>102</v>
      </c>
      <c r="G22" s="14">
        <v>57600</v>
      </c>
    </row>
    <row r="23" spans="2:14">
      <c r="B23" s="9">
        <v>21</v>
      </c>
      <c r="C23" s="10" t="s">
        <v>146</v>
      </c>
      <c r="D23" s="10" t="s">
        <v>98</v>
      </c>
      <c r="E23" s="10" t="s">
        <v>144</v>
      </c>
      <c r="F23" s="10" t="s">
        <v>102</v>
      </c>
      <c r="G23" s="14">
        <v>56700</v>
      </c>
    </row>
    <row r="24" spans="2:14">
      <c r="B24" s="9">
        <v>22</v>
      </c>
      <c r="C24" s="10" t="s">
        <v>147</v>
      </c>
      <c r="D24" s="10" t="s">
        <v>148</v>
      </c>
      <c r="E24" s="10" t="s">
        <v>118</v>
      </c>
      <c r="F24" s="10" t="s">
        <v>118</v>
      </c>
      <c r="G24" s="14">
        <v>54400</v>
      </c>
    </row>
    <row r="25" spans="2:14">
      <c r="B25" s="9">
        <v>23</v>
      </c>
      <c r="C25" s="10" t="s">
        <v>149</v>
      </c>
      <c r="D25" s="10" t="s">
        <v>98</v>
      </c>
      <c r="E25" s="10" t="s">
        <v>150</v>
      </c>
      <c r="F25" s="10" t="s">
        <v>108</v>
      </c>
      <c r="G25" s="14">
        <v>50100</v>
      </c>
    </row>
    <row r="26" spans="2:14">
      <c r="B26" s="9">
        <v>24</v>
      </c>
      <c r="C26" s="10" t="s">
        <v>151</v>
      </c>
      <c r="D26" s="10" t="s">
        <v>123</v>
      </c>
      <c r="E26" s="10" t="s">
        <v>152</v>
      </c>
      <c r="F26" s="10" t="s">
        <v>124</v>
      </c>
      <c r="G26" s="14">
        <v>47200</v>
      </c>
    </row>
    <row r="27" spans="2:14">
      <c r="B27" s="9">
        <v>25</v>
      </c>
      <c r="C27" s="10" t="s">
        <v>153</v>
      </c>
      <c r="D27" s="10" t="s">
        <v>98</v>
      </c>
      <c r="E27" s="10" t="s">
        <v>154</v>
      </c>
      <c r="F27" s="10" t="s">
        <v>102</v>
      </c>
      <c r="G27" s="14">
        <v>45100</v>
      </c>
    </row>
    <row r="28" spans="2:14">
      <c r="B28" s="9">
        <v>26</v>
      </c>
      <c r="C28" s="10" t="s">
        <v>155</v>
      </c>
      <c r="D28" s="10" t="s">
        <v>135</v>
      </c>
      <c r="E28" s="10" t="s">
        <v>156</v>
      </c>
      <c r="F28" s="10" t="s">
        <v>108</v>
      </c>
      <c r="G28" s="14">
        <v>45000</v>
      </c>
    </row>
    <row r="29" spans="2:14">
      <c r="B29" s="9">
        <v>27</v>
      </c>
      <c r="C29" s="10" t="s">
        <v>157</v>
      </c>
      <c r="D29" s="10" t="s">
        <v>158</v>
      </c>
      <c r="E29" s="10" t="s">
        <v>102</v>
      </c>
      <c r="F29" s="10" t="s">
        <v>102</v>
      </c>
      <c r="G29" s="14">
        <v>42900</v>
      </c>
    </row>
    <row r="30" spans="2:14">
      <c r="B30" s="9">
        <v>28</v>
      </c>
      <c r="C30" s="10" t="s">
        <v>159</v>
      </c>
      <c r="D30" s="10" t="s">
        <v>100</v>
      </c>
      <c r="E30" s="10" t="s">
        <v>160</v>
      </c>
      <c r="F30" s="10" t="s">
        <v>102</v>
      </c>
      <c r="G30" s="14">
        <v>40100</v>
      </c>
    </row>
    <row r="31" spans="2:14">
      <c r="B31" s="9">
        <v>29</v>
      </c>
      <c r="C31" s="10" t="s">
        <v>161</v>
      </c>
      <c r="D31" s="10" t="s">
        <v>162</v>
      </c>
      <c r="E31" s="10" t="s">
        <v>163</v>
      </c>
      <c r="F31" s="10" t="s">
        <v>164</v>
      </c>
      <c r="G31" s="14">
        <v>39100</v>
      </c>
    </row>
    <row r="32" spans="2:14">
      <c r="B32" s="9">
        <v>30</v>
      </c>
      <c r="C32" s="10" t="s">
        <v>165</v>
      </c>
      <c r="D32" s="10" t="s">
        <v>166</v>
      </c>
      <c r="E32" s="10" t="s">
        <v>167</v>
      </c>
      <c r="F32" s="10" t="s">
        <v>137</v>
      </c>
      <c r="G32" s="14">
        <v>38900</v>
      </c>
    </row>
    <row r="33" spans="7:7">
      <c r="G33" s="14"/>
    </row>
    <row r="34" spans="7:7">
      <c r="G34" s="14"/>
    </row>
    <row r="35" spans="7:7">
      <c r="G35" s="14"/>
    </row>
    <row r="36" spans="7:7">
      <c r="G36" s="14"/>
    </row>
    <row r="37" spans="7:7">
      <c r="G37" s="14"/>
    </row>
    <row r="38" spans="7:7">
      <c r="G38" s="14"/>
    </row>
    <row r="39" spans="7:7">
      <c r="G39" s="14"/>
    </row>
    <row r="40" spans="7:7">
      <c r="G40" s="14"/>
    </row>
    <row r="41" spans="7:7">
      <c r="G41" s="14"/>
    </row>
    <row r="42" spans="7:7">
      <c r="G42" s="14"/>
    </row>
    <row r="43" spans="7:7">
      <c r="G43" s="14"/>
    </row>
    <row r="44" spans="7:7">
      <c r="G44" s="14"/>
    </row>
    <row r="45" spans="7:7">
      <c r="G45" s="14"/>
    </row>
    <row r="46" spans="7:7">
      <c r="G46" s="14"/>
    </row>
    <row r="47" spans="7:7">
      <c r="G47" s="14"/>
    </row>
    <row r="48" spans="7:7">
      <c r="G48" s="14"/>
    </row>
    <row r="49" spans="7:7">
      <c r="G49" s="14"/>
    </row>
    <row r="50" spans="7:7">
      <c r="G50" s="1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B6864-29A5-464D-8484-70E9634FD079}">
  <dimension ref="B1:N50"/>
  <sheetViews>
    <sheetView tabSelected="1" zoomScale="130" zoomScaleNormal="130" workbookViewId="0">
      <selection activeCell="I18" sqref="I18"/>
    </sheetView>
  </sheetViews>
  <sheetFormatPr defaultColWidth="10.75" defaultRowHeight="14.45"/>
  <cols>
    <col min="1" max="1" width="3.75" style="9" customWidth="1"/>
    <col min="2" max="2" width="5.25" style="9" bestFit="1" customWidth="1"/>
    <col min="3" max="3" width="15.25" style="10" customWidth="1"/>
    <col min="4" max="4" width="12.75" style="10" customWidth="1"/>
    <col min="5" max="5" width="14.5" style="10" customWidth="1"/>
    <col min="6" max="6" width="10.25" style="10" bestFit="1" customWidth="1"/>
    <col min="7" max="7" width="9" style="9" bestFit="1" customWidth="1"/>
    <col min="8" max="8" width="5.5" style="9" customWidth="1"/>
    <col min="9" max="9" width="9.25" style="9" bestFit="1" customWidth="1"/>
    <col min="10" max="10" width="12" style="9" bestFit="1" customWidth="1"/>
    <col min="11" max="11" width="11" style="9" bestFit="1" customWidth="1"/>
    <col min="12" max="16384" width="10.75" style="9"/>
  </cols>
  <sheetData>
    <row r="1" spans="2:14">
      <c r="C1" s="9"/>
    </row>
    <row r="2" spans="2:14">
      <c r="B2" s="8" t="s">
        <v>92</v>
      </c>
      <c r="C2" s="11" t="s">
        <v>25</v>
      </c>
      <c r="D2" s="11" t="s">
        <v>93</v>
      </c>
      <c r="E2" s="11" t="s">
        <v>94</v>
      </c>
      <c r="F2" s="11" t="s">
        <v>95</v>
      </c>
      <c r="G2" s="8" t="s">
        <v>96</v>
      </c>
      <c r="I2" s="12" t="s">
        <v>97</v>
      </c>
      <c r="J2" s="13" t="s">
        <v>98</v>
      </c>
      <c r="L2" s="52" t="s">
        <v>168</v>
      </c>
      <c r="M2" s="52" t="s">
        <v>169</v>
      </c>
    </row>
    <row r="3" spans="2:14">
      <c r="B3" s="9">
        <v>1</v>
      </c>
      <c r="C3" s="10" t="s">
        <v>99</v>
      </c>
      <c r="D3" s="10" t="s">
        <v>100</v>
      </c>
      <c r="E3" s="10" t="s">
        <v>101</v>
      </c>
      <c r="F3" s="10" t="s">
        <v>102</v>
      </c>
      <c r="G3" s="14">
        <v>211000</v>
      </c>
      <c r="I3" s="12" t="s">
        <v>170</v>
      </c>
      <c r="J3" s="13" t="s">
        <v>108</v>
      </c>
    </row>
    <row r="4" spans="2:14">
      <c r="B4" s="9">
        <v>2</v>
      </c>
      <c r="C4" s="10" t="s">
        <v>103</v>
      </c>
      <c r="D4" s="10" t="s">
        <v>98</v>
      </c>
      <c r="E4" s="10" t="s">
        <v>104</v>
      </c>
      <c r="F4" s="10" t="s">
        <v>105</v>
      </c>
      <c r="G4" s="14">
        <v>180000</v>
      </c>
    </row>
    <row r="5" spans="2:14">
      <c r="B5" s="9">
        <v>3</v>
      </c>
      <c r="C5" s="10" t="s">
        <v>106</v>
      </c>
      <c r="D5" s="10" t="s">
        <v>98</v>
      </c>
      <c r="E5" s="10" t="s">
        <v>107</v>
      </c>
      <c r="F5" s="10" t="s">
        <v>108</v>
      </c>
      <c r="G5" s="14">
        <v>114000</v>
      </c>
    </row>
    <row r="6" spans="2:14">
      <c r="B6" s="9">
        <v>4</v>
      </c>
      <c r="C6" s="10" t="s">
        <v>109</v>
      </c>
      <c r="D6" s="10" t="s">
        <v>98</v>
      </c>
      <c r="E6" s="10" t="s">
        <v>110</v>
      </c>
      <c r="F6" s="10" t="s">
        <v>108</v>
      </c>
      <c r="G6" s="14">
        <v>107000</v>
      </c>
      <c r="I6" s="9" cm="1">
        <f t="array" ref="I6:N13">_xlfn._xlws.FILTER(B2:G32,(D2:D32=J2)*(F2:F32=J3))</f>
        <v>3</v>
      </c>
      <c r="J6" s="9" t="str">
        <v>Jeff Bezos</v>
      </c>
      <c r="K6" s="9" t="str">
        <v>United States</v>
      </c>
      <c r="L6" s="9" t="str">
        <v>Amazon</v>
      </c>
      <c r="M6" s="9" t="str">
        <v>Technology</v>
      </c>
      <c r="N6" s="9">
        <v>114000</v>
      </c>
    </row>
    <row r="7" spans="2:14">
      <c r="B7" s="9">
        <v>5</v>
      </c>
      <c r="C7" s="10" t="s">
        <v>111</v>
      </c>
      <c r="D7" s="10" t="s">
        <v>98</v>
      </c>
      <c r="E7" s="10" t="s">
        <v>112</v>
      </c>
      <c r="F7" s="10" t="s">
        <v>113</v>
      </c>
      <c r="G7" s="14">
        <v>106000</v>
      </c>
      <c r="I7" s="9">
        <v>4</v>
      </c>
      <c r="J7" s="9" t="str">
        <v>Larry Ellison</v>
      </c>
      <c r="K7" s="9" t="str">
        <v>United States</v>
      </c>
      <c r="L7" s="9" t="str">
        <v>Oracle</v>
      </c>
      <c r="M7" s="9" t="str">
        <v>Technology</v>
      </c>
      <c r="N7" s="9">
        <v>107000</v>
      </c>
    </row>
    <row r="8" spans="2:14">
      <c r="B8" s="9">
        <v>6</v>
      </c>
      <c r="C8" s="10" t="s">
        <v>114</v>
      </c>
      <c r="D8" s="10" t="s">
        <v>98</v>
      </c>
      <c r="E8" s="10" t="s">
        <v>115</v>
      </c>
      <c r="F8" s="10" t="s">
        <v>108</v>
      </c>
      <c r="G8" s="14">
        <v>104000</v>
      </c>
      <c r="I8" s="9">
        <v>6</v>
      </c>
      <c r="J8" s="9" t="str">
        <v>Bill Gates</v>
      </c>
      <c r="K8" s="9" t="str">
        <v>United States</v>
      </c>
      <c r="L8" s="9" t="str">
        <v>Microsoft</v>
      </c>
      <c r="M8" s="9" t="str">
        <v>Technology</v>
      </c>
      <c r="N8" s="9">
        <v>104000</v>
      </c>
    </row>
    <row r="9" spans="2:14">
      <c r="B9" s="9">
        <v>7</v>
      </c>
      <c r="C9" s="10" t="s">
        <v>116</v>
      </c>
      <c r="D9" s="10" t="s">
        <v>98</v>
      </c>
      <c r="E9" s="10" t="s">
        <v>117</v>
      </c>
      <c r="F9" s="10" t="s">
        <v>118</v>
      </c>
      <c r="G9" s="14">
        <v>94500</v>
      </c>
      <c r="I9" s="9">
        <v>10</v>
      </c>
      <c r="J9" s="9" t="str">
        <v>Steve Ballmer</v>
      </c>
      <c r="K9" s="9" t="str">
        <v>United States</v>
      </c>
      <c r="L9" s="9" t="str">
        <v>Microsoft</v>
      </c>
      <c r="M9" s="9" t="str">
        <v>Technology</v>
      </c>
      <c r="N9" s="9">
        <v>80700</v>
      </c>
    </row>
    <row r="10" spans="2:14">
      <c r="B10" s="9">
        <v>8</v>
      </c>
      <c r="C10" s="10" t="s">
        <v>119</v>
      </c>
      <c r="D10" s="10" t="s">
        <v>120</v>
      </c>
      <c r="E10" s="10" t="s">
        <v>121</v>
      </c>
      <c r="F10" s="10" t="s">
        <v>121</v>
      </c>
      <c r="G10" s="14">
        <v>93000</v>
      </c>
      <c r="I10" s="9">
        <v>12</v>
      </c>
      <c r="J10" s="9" t="str">
        <v>Larry Page</v>
      </c>
      <c r="K10" s="9" t="str">
        <v>United States</v>
      </c>
      <c r="L10" s="9" t="str">
        <v>Google</v>
      </c>
      <c r="M10" s="9" t="str">
        <v>Technology</v>
      </c>
      <c r="N10" s="9">
        <v>79200</v>
      </c>
    </row>
    <row r="11" spans="2:14">
      <c r="B11" s="9">
        <v>9</v>
      </c>
      <c r="C11" s="10" t="s">
        <v>122</v>
      </c>
      <c r="D11" s="10" t="s">
        <v>123</v>
      </c>
      <c r="E11" s="10" t="s">
        <v>124</v>
      </c>
      <c r="F11" s="10" t="s">
        <v>124</v>
      </c>
      <c r="G11" s="14">
        <v>83400</v>
      </c>
      <c r="I11" s="9">
        <v>14</v>
      </c>
      <c r="J11" s="9" t="str">
        <v>Sergey Brin</v>
      </c>
      <c r="K11" s="9" t="str">
        <v>United States</v>
      </c>
      <c r="L11" s="9" t="str">
        <v>Google</v>
      </c>
      <c r="M11" s="9" t="str">
        <v>Technology</v>
      </c>
      <c r="N11" s="9">
        <v>76000</v>
      </c>
    </row>
    <row r="12" spans="2:14">
      <c r="B12" s="9">
        <v>10</v>
      </c>
      <c r="C12" s="10" t="s">
        <v>125</v>
      </c>
      <c r="D12" s="10" t="s">
        <v>98</v>
      </c>
      <c r="E12" s="10" t="s">
        <v>115</v>
      </c>
      <c r="F12" s="10" t="s">
        <v>108</v>
      </c>
      <c r="G12" s="14">
        <v>80700</v>
      </c>
      <c r="I12" s="9">
        <v>16</v>
      </c>
      <c r="J12" s="9" t="str">
        <v>Mark Zuckerberg</v>
      </c>
      <c r="K12" s="9" t="str">
        <v>United States</v>
      </c>
      <c r="L12" s="9" t="str">
        <v>Facebook</v>
      </c>
      <c r="M12" s="9" t="str">
        <v>Technology</v>
      </c>
      <c r="N12" s="9">
        <v>64400</v>
      </c>
    </row>
    <row r="13" spans="2:14">
      <c r="B13" s="9">
        <v>11</v>
      </c>
      <c r="C13" s="10" t="s">
        <v>126</v>
      </c>
      <c r="D13" s="10" t="s">
        <v>100</v>
      </c>
      <c r="E13" s="10" t="s">
        <v>127</v>
      </c>
      <c r="F13" s="10" t="s">
        <v>102</v>
      </c>
      <c r="G13" s="14">
        <v>80500</v>
      </c>
      <c r="I13" s="9">
        <v>23</v>
      </c>
      <c r="J13" s="9" t="str">
        <v>Michael Dell</v>
      </c>
      <c r="K13" s="9" t="str">
        <v>United States</v>
      </c>
      <c r="L13" s="9" t="str">
        <v>Dell Technologies</v>
      </c>
      <c r="M13" s="9" t="str">
        <v>Technology</v>
      </c>
      <c r="N13" s="9">
        <v>50100</v>
      </c>
    </row>
    <row r="14" spans="2:14">
      <c r="B14" s="9">
        <v>12</v>
      </c>
      <c r="C14" s="10" t="s">
        <v>128</v>
      </c>
      <c r="D14" s="10" t="s">
        <v>98</v>
      </c>
      <c r="E14" s="10" t="s">
        <v>129</v>
      </c>
      <c r="F14" s="10" t="s">
        <v>108</v>
      </c>
      <c r="G14" s="14">
        <v>79200</v>
      </c>
    </row>
    <row r="15" spans="2:14">
      <c r="B15" s="9">
        <v>13</v>
      </c>
      <c r="C15" s="10" t="s">
        <v>130</v>
      </c>
      <c r="D15" s="10" t="s">
        <v>131</v>
      </c>
      <c r="E15" s="10" t="s">
        <v>132</v>
      </c>
      <c r="F15" s="10" t="s">
        <v>102</v>
      </c>
      <c r="G15" s="14">
        <v>77300</v>
      </c>
    </row>
    <row r="16" spans="2:14">
      <c r="B16" s="9">
        <v>14</v>
      </c>
      <c r="C16" s="10" t="s">
        <v>133</v>
      </c>
      <c r="D16" s="10" t="s">
        <v>98</v>
      </c>
      <c r="E16" s="10" t="s">
        <v>129</v>
      </c>
      <c r="F16" s="10" t="s">
        <v>108</v>
      </c>
      <c r="G16" s="14">
        <v>76000</v>
      </c>
    </row>
    <row r="17" spans="2:14">
      <c r="B17" s="9">
        <v>15</v>
      </c>
      <c r="C17" s="10" t="s">
        <v>134</v>
      </c>
      <c r="D17" s="10" t="s">
        <v>135</v>
      </c>
      <c r="E17" s="10" t="s">
        <v>136</v>
      </c>
      <c r="F17" s="10" t="s">
        <v>137</v>
      </c>
      <c r="G17" s="14">
        <v>68000</v>
      </c>
      <c r="I17" s="9" cm="1">
        <f t="array" ref="I17:N34">_xlfn._xlws.FILTER(B2:G32,(D2:D32=J2)+(F2:F32=J3))</f>
        <v>2</v>
      </c>
      <c r="J17" s="9" t="str">
        <v>Elon Musk</v>
      </c>
      <c r="K17" s="9" t="str">
        <v>United States</v>
      </c>
      <c r="L17" s="9" t="str">
        <v>Tesla, SpaceX</v>
      </c>
      <c r="M17" s="9" t="str">
        <v>Automotive</v>
      </c>
      <c r="N17" s="9">
        <v>180000</v>
      </c>
    </row>
    <row r="18" spans="2:14">
      <c r="B18" s="9">
        <v>16</v>
      </c>
      <c r="C18" s="10" t="s">
        <v>138</v>
      </c>
      <c r="D18" s="10" t="s">
        <v>98</v>
      </c>
      <c r="E18" s="10" t="s">
        <v>139</v>
      </c>
      <c r="F18" s="10" t="s">
        <v>108</v>
      </c>
      <c r="G18" s="14">
        <v>64400</v>
      </c>
      <c r="I18" s="9">
        <v>3</v>
      </c>
      <c r="J18" s="9" t="str">
        <v>Jeff Bezos</v>
      </c>
      <c r="K18" s="9" t="str">
        <v>United States</v>
      </c>
      <c r="L18" s="9" t="str">
        <v>Amazon</v>
      </c>
      <c r="M18" s="9" t="str">
        <v>Technology</v>
      </c>
      <c r="N18" s="9">
        <v>114000</v>
      </c>
    </row>
    <row r="19" spans="2:14">
      <c r="B19" s="9">
        <v>17</v>
      </c>
      <c r="C19" s="10" t="s">
        <v>140</v>
      </c>
      <c r="D19" s="10" t="s">
        <v>98</v>
      </c>
      <c r="E19" s="10" t="s">
        <v>141</v>
      </c>
      <c r="F19" s="10" t="s">
        <v>124</v>
      </c>
      <c r="G19" s="14">
        <v>59000</v>
      </c>
      <c r="I19" s="9">
        <v>4</v>
      </c>
      <c r="J19" s="9" t="str">
        <v>Larry Ellison</v>
      </c>
      <c r="K19" s="9" t="str">
        <v>United States</v>
      </c>
      <c r="L19" s="9" t="str">
        <v>Oracle</v>
      </c>
      <c r="M19" s="9" t="str">
        <v>Technology</v>
      </c>
      <c r="N19" s="9">
        <v>107000</v>
      </c>
    </row>
    <row r="20" spans="2:14">
      <c r="B20" s="9">
        <v>17</v>
      </c>
      <c r="C20" s="10" t="s">
        <v>142</v>
      </c>
      <c r="D20" s="10" t="s">
        <v>98</v>
      </c>
      <c r="E20" s="10" t="s">
        <v>141</v>
      </c>
      <c r="F20" s="10" t="s">
        <v>124</v>
      </c>
      <c r="G20" s="14">
        <v>59000</v>
      </c>
      <c r="I20" s="9">
        <v>5</v>
      </c>
      <c r="J20" s="9" t="str">
        <v>Warren Buffett</v>
      </c>
      <c r="K20" s="9" t="str">
        <v>United States</v>
      </c>
      <c r="L20" s="9" t="str">
        <v>Berkshire Hathaway</v>
      </c>
      <c r="M20" s="9" t="str">
        <v>Finance</v>
      </c>
      <c r="N20" s="9">
        <v>106000</v>
      </c>
    </row>
    <row r="21" spans="2:14">
      <c r="B21" s="9">
        <v>19</v>
      </c>
      <c r="C21" s="10" t="s">
        <v>143</v>
      </c>
      <c r="D21" s="10" t="s">
        <v>98</v>
      </c>
      <c r="E21" s="10" t="s">
        <v>144</v>
      </c>
      <c r="F21" s="10" t="s">
        <v>102</v>
      </c>
      <c r="G21" s="14">
        <v>58800</v>
      </c>
      <c r="I21" s="9">
        <v>6</v>
      </c>
      <c r="J21" s="9" t="str">
        <v>Bill Gates</v>
      </c>
      <c r="K21" s="9" t="str">
        <v>United States</v>
      </c>
      <c r="L21" s="9" t="str">
        <v>Microsoft</v>
      </c>
      <c r="M21" s="9" t="str">
        <v>Technology</v>
      </c>
      <c r="N21" s="9">
        <v>104000</v>
      </c>
    </row>
    <row r="22" spans="2:14">
      <c r="B22" s="9">
        <v>20</v>
      </c>
      <c r="C22" s="10" t="s">
        <v>145</v>
      </c>
      <c r="D22" s="10" t="s">
        <v>98</v>
      </c>
      <c r="E22" s="10" t="s">
        <v>144</v>
      </c>
      <c r="F22" s="10" t="s">
        <v>102</v>
      </c>
      <c r="G22" s="14">
        <v>57600</v>
      </c>
      <c r="I22" s="9">
        <v>7</v>
      </c>
      <c r="J22" s="9" t="str">
        <v>Michael Bloomberg</v>
      </c>
      <c r="K22" s="9" t="str">
        <v>United States</v>
      </c>
      <c r="L22" s="9" t="str">
        <v>Bloomberg LP</v>
      </c>
      <c r="M22" s="9" t="str">
        <v>Media</v>
      </c>
      <c r="N22" s="9">
        <v>94500</v>
      </c>
    </row>
    <row r="23" spans="2:14">
      <c r="B23" s="9">
        <v>21</v>
      </c>
      <c r="C23" s="10" t="s">
        <v>146</v>
      </c>
      <c r="D23" s="10" t="s">
        <v>98</v>
      </c>
      <c r="E23" s="10" t="s">
        <v>144</v>
      </c>
      <c r="F23" s="10" t="s">
        <v>102</v>
      </c>
      <c r="G23" s="14">
        <v>56700</v>
      </c>
      <c r="I23" s="9">
        <v>10</v>
      </c>
      <c r="J23" s="9" t="str">
        <v>Steve Ballmer</v>
      </c>
      <c r="K23" s="9" t="str">
        <v>United States</v>
      </c>
      <c r="L23" s="9" t="str">
        <v>Microsoft</v>
      </c>
      <c r="M23" s="9" t="str">
        <v>Technology</v>
      </c>
      <c r="N23" s="9">
        <v>80700</v>
      </c>
    </row>
    <row r="24" spans="2:14">
      <c r="B24" s="9">
        <v>22</v>
      </c>
      <c r="C24" s="10" t="s">
        <v>147</v>
      </c>
      <c r="D24" s="10" t="s">
        <v>148</v>
      </c>
      <c r="E24" s="10" t="s">
        <v>118</v>
      </c>
      <c r="F24" s="10" t="s">
        <v>118</v>
      </c>
      <c r="G24" s="14">
        <v>54400</v>
      </c>
      <c r="I24" s="9">
        <v>12</v>
      </c>
      <c r="J24" s="9" t="str">
        <v>Larry Page</v>
      </c>
      <c r="K24" s="9" t="str">
        <v>United States</v>
      </c>
      <c r="L24" s="9" t="str">
        <v>Google</v>
      </c>
      <c r="M24" s="9" t="str">
        <v>Technology</v>
      </c>
      <c r="N24" s="9">
        <v>79200</v>
      </c>
    </row>
    <row r="25" spans="2:14">
      <c r="B25" s="9">
        <v>23</v>
      </c>
      <c r="C25" s="10" t="s">
        <v>149</v>
      </c>
      <c r="D25" s="10" t="s">
        <v>98</v>
      </c>
      <c r="E25" s="10" t="s">
        <v>150</v>
      </c>
      <c r="F25" s="10" t="s">
        <v>108</v>
      </c>
      <c r="G25" s="14">
        <v>50100</v>
      </c>
      <c r="I25" s="9">
        <v>14</v>
      </c>
      <c r="J25" s="9" t="str">
        <v>Sergey Brin</v>
      </c>
      <c r="K25" s="9" t="str">
        <v>United States</v>
      </c>
      <c r="L25" s="9" t="str">
        <v>Google</v>
      </c>
      <c r="M25" s="9" t="str">
        <v>Technology</v>
      </c>
      <c r="N25" s="9">
        <v>76000</v>
      </c>
    </row>
    <row r="26" spans="2:14">
      <c r="B26" s="9">
        <v>24</v>
      </c>
      <c r="C26" s="10" t="s">
        <v>151</v>
      </c>
      <c r="D26" s="10" t="s">
        <v>123</v>
      </c>
      <c r="E26" s="10" t="s">
        <v>152</v>
      </c>
      <c r="F26" s="10" t="s">
        <v>124</v>
      </c>
      <c r="G26" s="14">
        <v>47200</v>
      </c>
      <c r="I26" s="9">
        <v>16</v>
      </c>
      <c r="J26" s="9" t="str">
        <v>Mark Zuckerberg</v>
      </c>
      <c r="K26" s="9" t="str">
        <v>United States</v>
      </c>
      <c r="L26" s="9" t="str">
        <v>Facebook</v>
      </c>
      <c r="M26" s="9" t="str">
        <v>Technology</v>
      </c>
      <c r="N26" s="9">
        <v>64400</v>
      </c>
    </row>
    <row r="27" spans="2:14">
      <c r="B27" s="9">
        <v>25</v>
      </c>
      <c r="C27" s="10" t="s">
        <v>153</v>
      </c>
      <c r="D27" s="10" t="s">
        <v>98</v>
      </c>
      <c r="E27" s="10" t="s">
        <v>154</v>
      </c>
      <c r="F27" s="10" t="s">
        <v>102</v>
      </c>
      <c r="G27" s="14">
        <v>45100</v>
      </c>
      <c r="I27" s="9">
        <v>17</v>
      </c>
      <c r="J27" s="9" t="str">
        <v>Charles Koch &amp; family</v>
      </c>
      <c r="K27" s="9" t="str">
        <v>United States</v>
      </c>
      <c r="L27" s="9" t="str">
        <v>Koch Industries</v>
      </c>
      <c r="M27" s="9" t="str">
        <v>Diversified</v>
      </c>
      <c r="N27" s="9">
        <v>59000</v>
      </c>
    </row>
    <row r="28" spans="2:14">
      <c r="B28" s="9">
        <v>26</v>
      </c>
      <c r="C28" s="10" t="s">
        <v>155</v>
      </c>
      <c r="D28" s="10" t="s">
        <v>135</v>
      </c>
      <c r="E28" s="10" t="s">
        <v>156</v>
      </c>
      <c r="F28" s="10" t="s">
        <v>108</v>
      </c>
      <c r="G28" s="14">
        <v>45000</v>
      </c>
      <c r="I28" s="9">
        <v>17</v>
      </c>
      <c r="J28" s="9" t="str">
        <v>Julia Koch &amp; family</v>
      </c>
      <c r="K28" s="9" t="str">
        <v>United States</v>
      </c>
      <c r="L28" s="9" t="str">
        <v>Koch Industries</v>
      </c>
      <c r="M28" s="9" t="str">
        <v>Diversified</v>
      </c>
      <c r="N28" s="9">
        <v>59000</v>
      </c>
    </row>
    <row r="29" spans="2:14">
      <c r="B29" s="9">
        <v>27</v>
      </c>
      <c r="C29" s="10" t="s">
        <v>157</v>
      </c>
      <c r="D29" s="10" t="s">
        <v>158</v>
      </c>
      <c r="E29" s="10" t="s">
        <v>102</v>
      </c>
      <c r="F29" s="10" t="s">
        <v>102</v>
      </c>
      <c r="G29" s="14">
        <v>42900</v>
      </c>
      <c r="I29" s="9">
        <v>19</v>
      </c>
      <c r="J29" s="9" t="str">
        <v>Jim Walton</v>
      </c>
      <c r="K29" s="9" t="str">
        <v>United States</v>
      </c>
      <c r="L29" s="9" t="str">
        <v>Walmart</v>
      </c>
      <c r="M29" s="9" t="str">
        <v>Retail</v>
      </c>
      <c r="N29" s="9">
        <v>58800</v>
      </c>
    </row>
    <row r="30" spans="2:14">
      <c r="B30" s="9">
        <v>28</v>
      </c>
      <c r="C30" s="10" t="s">
        <v>159</v>
      </c>
      <c r="D30" s="10" t="s">
        <v>100</v>
      </c>
      <c r="E30" s="10" t="s">
        <v>160</v>
      </c>
      <c r="F30" s="10" t="s">
        <v>102</v>
      </c>
      <c r="G30" s="14">
        <v>40100</v>
      </c>
      <c r="I30" s="9">
        <v>20</v>
      </c>
      <c r="J30" s="9" t="str">
        <v>Rob Walton &amp; family</v>
      </c>
      <c r="K30" s="9" t="str">
        <v>United States</v>
      </c>
      <c r="L30" s="9" t="str">
        <v>Walmart</v>
      </c>
      <c r="M30" s="9" t="str">
        <v>Retail</v>
      </c>
      <c r="N30" s="9">
        <v>57600</v>
      </c>
    </row>
    <row r="31" spans="2:14">
      <c r="B31" s="9">
        <v>29</v>
      </c>
      <c r="C31" s="10" t="s">
        <v>161</v>
      </c>
      <c r="D31" s="10" t="s">
        <v>162</v>
      </c>
      <c r="E31" s="10" t="s">
        <v>163</v>
      </c>
      <c r="F31" s="10" t="s">
        <v>164</v>
      </c>
      <c r="G31" s="14">
        <v>39100</v>
      </c>
      <c r="I31" s="9">
        <v>21</v>
      </c>
      <c r="J31" s="9" t="str">
        <v>Alice Walton</v>
      </c>
      <c r="K31" s="9" t="str">
        <v>United States</v>
      </c>
      <c r="L31" s="9" t="str">
        <v>Walmart</v>
      </c>
      <c r="M31" s="9" t="str">
        <v>Retail</v>
      </c>
      <c r="N31" s="9">
        <v>56700</v>
      </c>
    </row>
    <row r="32" spans="2:14">
      <c r="B32" s="9">
        <v>30</v>
      </c>
      <c r="C32" s="10" t="s">
        <v>165</v>
      </c>
      <c r="D32" s="10" t="s">
        <v>166</v>
      </c>
      <c r="E32" s="10" t="s">
        <v>167</v>
      </c>
      <c r="F32" s="10" t="s">
        <v>137</v>
      </c>
      <c r="G32" s="14">
        <v>38900</v>
      </c>
      <c r="I32" s="9">
        <v>23</v>
      </c>
      <c r="J32" s="9" t="str">
        <v>Michael Dell</v>
      </c>
      <c r="K32" s="9" t="str">
        <v>United States</v>
      </c>
      <c r="L32" s="9" t="str">
        <v>Dell Technologies</v>
      </c>
      <c r="M32" s="9" t="str">
        <v>Technology</v>
      </c>
      <c r="N32" s="9">
        <v>50100</v>
      </c>
    </row>
    <row r="33" spans="7:14">
      <c r="G33" s="14"/>
      <c r="I33" s="9">
        <v>25</v>
      </c>
      <c r="J33" s="9" t="str">
        <v>Phil Knight &amp; family</v>
      </c>
      <c r="K33" s="9" t="str">
        <v>United States</v>
      </c>
      <c r="L33" s="9" t="str">
        <v>Nike</v>
      </c>
      <c r="M33" s="9" t="str">
        <v>Retail</v>
      </c>
      <c r="N33" s="9">
        <v>45100</v>
      </c>
    </row>
    <row r="34" spans="7:14">
      <c r="G34" s="14"/>
      <c r="I34" s="9">
        <v>26</v>
      </c>
      <c r="J34" s="9" t="str">
        <v>Zhang Yiming</v>
      </c>
      <c r="K34" s="9" t="str">
        <v>China</v>
      </c>
      <c r="L34" s="9" t="str">
        <v>TikTok</v>
      </c>
      <c r="M34" s="9" t="str">
        <v>Technology</v>
      </c>
      <c r="N34" s="9">
        <v>45000</v>
      </c>
    </row>
    <row r="35" spans="7:14">
      <c r="G35" s="14"/>
    </row>
    <row r="36" spans="7:14">
      <c r="G36" s="14"/>
    </row>
    <row r="37" spans="7:14">
      <c r="G37" s="14"/>
    </row>
    <row r="38" spans="7:14">
      <c r="G38" s="14"/>
    </row>
    <row r="39" spans="7:14">
      <c r="G39" s="14"/>
    </row>
    <row r="40" spans="7:14">
      <c r="G40" s="14"/>
    </row>
    <row r="41" spans="7:14">
      <c r="G41" s="14"/>
    </row>
    <row r="42" spans="7:14">
      <c r="G42" s="14"/>
    </row>
    <row r="43" spans="7:14">
      <c r="G43" s="14"/>
    </row>
    <row r="44" spans="7:14">
      <c r="G44" s="14"/>
    </row>
    <row r="45" spans="7:14">
      <c r="G45" s="14"/>
    </row>
    <row r="46" spans="7:14">
      <c r="G46" s="14"/>
    </row>
    <row r="47" spans="7:14">
      <c r="G47" s="14"/>
    </row>
    <row r="48" spans="7:14">
      <c r="G48" s="14"/>
    </row>
    <row r="49" spans="7:7">
      <c r="G49" s="14"/>
    </row>
    <row r="50" spans="7:7">
      <c r="G50" s="1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2CC31-FBDA-3F41-8A76-FAA5983E20BC}">
  <dimension ref="A1:G18"/>
  <sheetViews>
    <sheetView topLeftCell="B1" zoomScale="130" zoomScaleNormal="130" workbookViewId="0">
      <selection activeCell="F5" sqref="F5"/>
    </sheetView>
  </sheetViews>
  <sheetFormatPr defaultColWidth="11.25" defaultRowHeight="14.45"/>
  <cols>
    <col min="1" max="1" width="3.5" style="21" customWidth="1"/>
    <col min="2" max="2" width="15.75" style="21" bestFit="1" customWidth="1"/>
    <col min="3" max="3" width="7.25" style="21" bestFit="1" customWidth="1"/>
    <col min="4" max="4" width="4" style="21" customWidth="1"/>
    <col min="5" max="5" width="11.25" style="21"/>
    <col min="6" max="6" width="13.25" style="21" bestFit="1" customWidth="1"/>
    <col min="7" max="16384" width="11.25" style="21"/>
  </cols>
  <sheetData>
    <row r="1" spans="1:7" customFormat="1" ht="15.6">
      <c r="A1" s="21"/>
      <c r="B1" s="9"/>
      <c r="C1" s="21"/>
      <c r="D1" s="21"/>
      <c r="E1" s="21"/>
      <c r="F1" s="21"/>
      <c r="G1" s="21"/>
    </row>
    <row r="2" spans="1:7" s="26" customFormat="1">
      <c r="B2" s="24" t="s">
        <v>171</v>
      </c>
      <c r="C2" s="25" t="s">
        <v>70</v>
      </c>
      <c r="E2" s="22" t="s">
        <v>172</v>
      </c>
      <c r="F2" s="9" t="s">
        <v>173</v>
      </c>
    </row>
    <row r="3" spans="1:7">
      <c r="B3" s="21" t="s">
        <v>174</v>
      </c>
      <c r="C3" s="27">
        <v>8151.24812152702</v>
      </c>
      <c r="E3" s="22" t="s">
        <v>175</v>
      </c>
      <c r="F3" s="28">
        <f>VLOOKUP(F2,B3:C18,2,FALSE)</f>
        <v>2092.3283139276195</v>
      </c>
    </row>
    <row r="4" spans="1:7">
      <c r="B4" s="21" t="s">
        <v>176</v>
      </c>
      <c r="C4" s="27">
        <v>7755.4709019399825</v>
      </c>
    </row>
    <row r="5" spans="1:7">
      <c r="B5" s="21" t="s">
        <v>173</v>
      </c>
      <c r="C5" s="27">
        <v>2092.3283139276195</v>
      </c>
    </row>
    <row r="6" spans="1:7">
      <c r="B6" s="21" t="s">
        <v>177</v>
      </c>
      <c r="C6" s="27">
        <v>3380.1466125541278</v>
      </c>
    </row>
    <row r="7" spans="1:7">
      <c r="B7" s="21" t="s">
        <v>178</v>
      </c>
      <c r="C7" s="27">
        <v>6964.0561728480398</v>
      </c>
    </row>
    <row r="8" spans="1:7">
      <c r="B8" s="21" t="s">
        <v>179</v>
      </c>
      <c r="C8" s="27">
        <v>5012.6200229350716</v>
      </c>
    </row>
    <row r="9" spans="1:7">
      <c r="B9" s="21" t="s">
        <v>180</v>
      </c>
      <c r="C9" s="27">
        <v>6993.37653924595</v>
      </c>
    </row>
    <row r="10" spans="1:7">
      <c r="B10" s="21" t="s">
        <v>181</v>
      </c>
      <c r="C10" s="27">
        <v>9916.1225399862142</v>
      </c>
    </row>
    <row r="11" spans="1:7">
      <c r="B11" s="21" t="s">
        <v>182</v>
      </c>
      <c r="C11" s="27">
        <v>9982.7607672833492</v>
      </c>
    </row>
    <row r="12" spans="1:7">
      <c r="B12" s="21" t="s">
        <v>183</v>
      </c>
      <c r="C12" s="27">
        <v>9110.2743930674405</v>
      </c>
    </row>
    <row r="13" spans="1:7">
      <c r="B13" s="21" t="s">
        <v>184</v>
      </c>
      <c r="C13" s="27">
        <v>3222.9027070160741</v>
      </c>
    </row>
    <row r="14" spans="1:7">
      <c r="B14" s="21" t="s">
        <v>185</v>
      </c>
      <c r="C14" s="27">
        <v>3435.2681701390152</v>
      </c>
    </row>
    <row r="15" spans="1:7">
      <c r="B15" s="21" t="s">
        <v>186</v>
      </c>
      <c r="C15" s="27">
        <v>6016.4213975740586</v>
      </c>
    </row>
    <row r="16" spans="1:7">
      <c r="B16" s="21" t="s">
        <v>187</v>
      </c>
      <c r="C16" s="27">
        <v>1734.5840260811419</v>
      </c>
    </row>
    <row r="17" spans="2:3">
      <c r="B17" s="21" t="s">
        <v>188</v>
      </c>
      <c r="C17" s="27">
        <v>4726.9219681522554</v>
      </c>
    </row>
    <row r="18" spans="2:3">
      <c r="B18" s="21" t="s">
        <v>189</v>
      </c>
      <c r="C18" s="27">
        <v>3459</v>
      </c>
    </row>
  </sheetData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9A43C-DD50-D34F-82A9-0380C3DD0C14}">
  <dimension ref="B1:I18"/>
  <sheetViews>
    <sheetView zoomScale="130" zoomScaleNormal="130" workbookViewId="0">
      <selection activeCell="I5" sqref="I5"/>
    </sheetView>
  </sheetViews>
  <sheetFormatPr defaultColWidth="11.25" defaultRowHeight="14.45"/>
  <cols>
    <col min="1" max="1" width="3.5" style="21" customWidth="1"/>
    <col min="2" max="2" width="13.25" style="21" bestFit="1" customWidth="1"/>
    <col min="3" max="6" width="7.75" style="23" customWidth="1"/>
    <col min="7" max="7" width="4.75" style="21" customWidth="1"/>
    <col min="8" max="8" width="11.25" style="21"/>
    <col min="9" max="9" width="12" style="21" customWidth="1"/>
    <col min="10" max="16384" width="11.25" style="21"/>
  </cols>
  <sheetData>
    <row r="1" spans="2:9" ht="12" customHeight="1"/>
    <row r="2" spans="2:9" s="26" customFormat="1">
      <c r="B2" s="24" t="s">
        <v>171</v>
      </c>
      <c r="C2" s="29" t="s">
        <v>190</v>
      </c>
      <c r="D2" s="29" t="s">
        <v>191</v>
      </c>
      <c r="E2" s="29" t="s">
        <v>192</v>
      </c>
      <c r="F2" s="29" t="s">
        <v>193</v>
      </c>
      <c r="H2" s="22" t="s">
        <v>172</v>
      </c>
      <c r="I2" s="9" t="s">
        <v>173</v>
      </c>
    </row>
    <row r="3" spans="2:9">
      <c r="B3" s="21" t="s">
        <v>174</v>
      </c>
      <c r="C3" s="27">
        <v>8151.24812152702</v>
      </c>
      <c r="D3" s="27">
        <v>1216.6072035870845</v>
      </c>
      <c r="E3" s="27">
        <v>3232.9894725803101</v>
      </c>
      <c r="F3" s="27">
        <v>5380.8634254774952</v>
      </c>
      <c r="H3" s="22" t="s">
        <v>194</v>
      </c>
      <c r="I3" s="9" t="s">
        <v>191</v>
      </c>
    </row>
    <row r="4" spans="2:9" ht="15">
      <c r="B4" s="21" t="s">
        <v>176</v>
      </c>
      <c r="C4" s="27">
        <v>7755.4709019399825</v>
      </c>
      <c r="D4" s="27">
        <v>2384.7294473981196</v>
      </c>
      <c r="E4" s="27">
        <v>4805.3778620719804</v>
      </c>
      <c r="F4" s="27">
        <v>6333.7341275748604</v>
      </c>
      <c r="H4" s="22" t="s">
        <v>175</v>
      </c>
      <c r="I4" s="51" cm="1">
        <f t="array" ref="I4">_xlfn.XLOOKUP(I2,B3:B18,_xlfn.XLOOKUP(I3,C2:F2,C3:F18))</f>
        <v>7391.9017104370232</v>
      </c>
    </row>
    <row r="5" spans="2:9">
      <c r="B5" s="21" t="s">
        <v>173</v>
      </c>
      <c r="C5" s="27">
        <v>2092.3283139276195</v>
      </c>
      <c r="D5" s="27">
        <v>7391.9017104370232</v>
      </c>
      <c r="E5" s="27">
        <v>1297.9565400229365</v>
      </c>
      <c r="F5" s="27">
        <v>724.3282139385077</v>
      </c>
    </row>
    <row r="6" spans="2:9">
      <c r="B6" s="21" t="s">
        <v>177</v>
      </c>
      <c r="C6" s="27">
        <v>3380.1466125541278</v>
      </c>
      <c r="D6" s="27">
        <v>2741.0723461438702</v>
      </c>
      <c r="E6" s="27">
        <v>9401.240773345764</v>
      </c>
      <c r="F6" s="27">
        <v>7294.3161773734246</v>
      </c>
    </row>
    <row r="7" spans="2:9">
      <c r="B7" s="21" t="s">
        <v>178</v>
      </c>
      <c r="C7" s="27">
        <v>6964.0561728480398</v>
      </c>
      <c r="D7" s="27">
        <v>5353.707416439911</v>
      </c>
      <c r="E7" s="27">
        <v>9221.9693332982861</v>
      </c>
      <c r="F7" s="27">
        <v>289.48880144307634</v>
      </c>
    </row>
    <row r="8" spans="2:9">
      <c r="B8" s="21" t="s">
        <v>179</v>
      </c>
      <c r="C8" s="27">
        <v>5012.6200229350716</v>
      </c>
      <c r="D8" s="27">
        <v>3079.3355004363152</v>
      </c>
      <c r="E8" s="27">
        <v>8185.3064399079985</v>
      </c>
      <c r="F8" s="27">
        <v>8223.9815426312798</v>
      </c>
    </row>
    <row r="9" spans="2:9">
      <c r="B9" s="21" t="s">
        <v>180</v>
      </c>
      <c r="C9" s="27">
        <v>6993.37653924595</v>
      </c>
      <c r="D9" s="27">
        <v>5686.8171505752525</v>
      </c>
      <c r="E9" s="27">
        <v>4128.5136777492053</v>
      </c>
      <c r="F9" s="27">
        <v>7291.779390855012</v>
      </c>
    </row>
    <row r="10" spans="2:9">
      <c r="B10" s="21" t="s">
        <v>181</v>
      </c>
      <c r="C10" s="27">
        <v>9916.1225399862142</v>
      </c>
      <c r="D10" s="27">
        <v>9333.0756394258642</v>
      </c>
      <c r="E10" s="27">
        <v>7049.8906377318808</v>
      </c>
      <c r="F10" s="27">
        <v>4977.9417754671913</v>
      </c>
    </row>
    <row r="11" spans="2:9">
      <c r="B11" s="21" t="s">
        <v>182</v>
      </c>
      <c r="C11" s="27">
        <v>9982.7607672833492</v>
      </c>
      <c r="D11" s="27">
        <v>8909.8190657786599</v>
      </c>
      <c r="E11" s="27">
        <v>7605.8241325880426</v>
      </c>
      <c r="F11" s="27">
        <v>6120.0647296657771</v>
      </c>
    </row>
    <row r="12" spans="2:9">
      <c r="B12" s="21" t="s">
        <v>183</v>
      </c>
      <c r="C12" s="27">
        <v>9110.2743930674405</v>
      </c>
      <c r="D12" s="27">
        <v>9868.2307560574609</v>
      </c>
      <c r="E12" s="27">
        <v>9236.3452516168691</v>
      </c>
      <c r="F12" s="27">
        <v>1328.2772405269661</v>
      </c>
    </row>
    <row r="13" spans="2:9">
      <c r="B13" s="21" t="s">
        <v>184</v>
      </c>
      <c r="C13" s="27">
        <v>3222.9027070160741</v>
      </c>
      <c r="D13" s="27">
        <v>9582.9475714898672</v>
      </c>
      <c r="E13" s="27">
        <v>7866.7235603216905</v>
      </c>
      <c r="F13" s="27">
        <v>9731.3946654753363</v>
      </c>
    </row>
    <row r="14" spans="2:9">
      <c r="B14" s="21" t="s">
        <v>185</v>
      </c>
      <c r="C14" s="27">
        <v>3435.2681701390152</v>
      </c>
      <c r="D14" s="27">
        <v>3609.4416521855164</v>
      </c>
      <c r="E14" s="27">
        <v>1145.8116680593378</v>
      </c>
      <c r="F14" s="27">
        <v>8727.8209641810063</v>
      </c>
    </row>
    <row r="15" spans="2:9">
      <c r="B15" s="21" t="s">
        <v>186</v>
      </c>
      <c r="C15" s="27">
        <v>6016.4213975740586</v>
      </c>
      <c r="D15" s="27">
        <v>836.68295826708766</v>
      </c>
      <c r="E15" s="27">
        <v>4937.7752811356768</v>
      </c>
      <c r="F15" s="27">
        <v>4262.4870958279216</v>
      </c>
    </row>
    <row r="16" spans="2:9">
      <c r="B16" s="21" t="s">
        <v>187</v>
      </c>
      <c r="C16" s="27">
        <v>1734.5840260811419</v>
      </c>
      <c r="D16" s="27">
        <v>9137.3220289000819</v>
      </c>
      <c r="E16" s="27">
        <v>4203.7648770856304</v>
      </c>
      <c r="F16" s="27">
        <v>8395.1671654812762</v>
      </c>
    </row>
    <row r="17" spans="2:6">
      <c r="B17" s="21" t="s">
        <v>188</v>
      </c>
      <c r="C17" s="27">
        <v>4726.9219681522554</v>
      </c>
      <c r="D17" s="27">
        <v>4637.0943877827849</v>
      </c>
      <c r="E17" s="27">
        <v>5662.3454488109019</v>
      </c>
      <c r="F17" s="27">
        <v>8487.4514250723241</v>
      </c>
    </row>
    <row r="18" spans="2:6">
      <c r="B18" s="21" t="s">
        <v>189</v>
      </c>
      <c r="C18" s="27">
        <v>3459</v>
      </c>
      <c r="D18" s="27">
        <f>D17*0.3</f>
        <v>1391.1283163348355</v>
      </c>
      <c r="E18" s="27">
        <f t="shared" ref="E18:F18" si="0">E17*0.3</f>
        <v>1698.7036346432706</v>
      </c>
      <c r="F18" s="27">
        <f t="shared" si="0"/>
        <v>2546.2354275216971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88D61-A425-6C41-B13A-6AF1E6963411}">
  <dimension ref="B2:D12"/>
  <sheetViews>
    <sheetView zoomScale="130" zoomScaleNormal="130" workbookViewId="0">
      <selection activeCell="B15" sqref="B15"/>
    </sheetView>
  </sheetViews>
  <sheetFormatPr defaultColWidth="11.25" defaultRowHeight="14.45"/>
  <cols>
    <col min="1" max="1" width="3.25" style="21" customWidth="1"/>
    <col min="2" max="2" width="36.75" style="21" bestFit="1" customWidth="1"/>
    <col min="3" max="16384" width="11.25" style="21"/>
  </cols>
  <sheetData>
    <row r="2" spans="2:4">
      <c r="B2" s="8" t="s">
        <v>195</v>
      </c>
      <c r="C2" s="8" t="s">
        <v>93</v>
      </c>
      <c r="D2" s="8" t="s">
        <v>196</v>
      </c>
    </row>
    <row r="3" spans="2:4">
      <c r="B3" s="21" t="s">
        <v>197</v>
      </c>
      <c r="C3" s="30" t="s">
        <v>148</v>
      </c>
    </row>
    <row r="4" spans="2:4">
      <c r="B4" s="21" t="s">
        <v>198</v>
      </c>
      <c r="C4" s="30" t="s">
        <v>148</v>
      </c>
    </row>
    <row r="5" spans="2:4">
      <c r="B5" s="21" t="s">
        <v>199</v>
      </c>
      <c r="C5" s="30" t="s">
        <v>148</v>
      </c>
    </row>
    <row r="6" spans="2:4">
      <c r="B6" s="21" t="s">
        <v>200</v>
      </c>
      <c r="C6" s="30" t="s">
        <v>201</v>
      </c>
    </row>
    <row r="7" spans="2:4">
      <c r="B7" s="21" t="s">
        <v>202</v>
      </c>
      <c r="C7" s="30" t="s">
        <v>201</v>
      </c>
    </row>
    <row r="8" spans="2:4">
      <c r="B8" s="21" t="s">
        <v>203</v>
      </c>
      <c r="C8" s="30" t="s">
        <v>201</v>
      </c>
    </row>
    <row r="9" spans="2:4">
      <c r="B9" s="21" t="s">
        <v>204</v>
      </c>
      <c r="C9" s="30" t="s">
        <v>120</v>
      </c>
    </row>
    <row r="10" spans="2:4">
      <c r="B10" s="21" t="s">
        <v>205</v>
      </c>
      <c r="C10" s="30" t="s">
        <v>120</v>
      </c>
    </row>
    <row r="11" spans="2:4">
      <c r="B11" s="21" t="s">
        <v>206</v>
      </c>
      <c r="C11" s="30" t="s">
        <v>120</v>
      </c>
    </row>
    <row r="12" spans="2:4">
      <c r="B12" s="21" t="s">
        <v>207</v>
      </c>
      <c r="C12" s="30" t="s">
        <v>120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28FF9-C38E-A747-9BFA-7E90C34FBE26}">
  <dimension ref="B1:G18"/>
  <sheetViews>
    <sheetView zoomScale="168" workbookViewId="0">
      <selection activeCell="B3" sqref="B3:B18"/>
    </sheetView>
  </sheetViews>
  <sheetFormatPr defaultColWidth="11.25" defaultRowHeight="15.6"/>
  <cols>
    <col min="1" max="1" width="3.5" customWidth="1"/>
    <col min="2" max="2" width="15.75" bestFit="1" customWidth="1"/>
    <col min="3" max="3" width="9.25" customWidth="1"/>
    <col min="4" max="4" width="11.25" bestFit="1" customWidth="1"/>
    <col min="5" max="6" width="7.75" customWidth="1"/>
  </cols>
  <sheetData>
    <row r="1" spans="2:7" ht="7.9" customHeight="1"/>
    <row r="2" spans="2:7" s="2" customFormat="1">
      <c r="B2" s="1" t="s">
        <v>171</v>
      </c>
      <c r="C2" s="3" t="s">
        <v>70</v>
      </c>
      <c r="D2" s="3" t="s">
        <v>208</v>
      </c>
      <c r="F2" s="4" t="s">
        <v>209</v>
      </c>
      <c r="G2" s="4" t="s">
        <v>208</v>
      </c>
    </row>
    <row r="3" spans="2:7">
      <c r="B3" t="s">
        <v>174</v>
      </c>
      <c r="C3" s="5">
        <v>8151.24812152702</v>
      </c>
      <c r="D3" s="6">
        <f>_xlfn.XLOOKUP(C3,$F$3:$F$6,$G$3:$G$6,,-1)</f>
        <v>0.2</v>
      </c>
      <c r="F3" s="5">
        <v>0</v>
      </c>
      <c r="G3" s="7">
        <v>0</v>
      </c>
    </row>
    <row r="4" spans="2:7">
      <c r="B4" t="s">
        <v>176</v>
      </c>
      <c r="C4" s="5">
        <v>7755.4709019399825</v>
      </c>
      <c r="D4" s="6">
        <f t="shared" ref="D4:D18" si="0">_xlfn.XLOOKUP(C4,$F$3:$F$6,$G$3:$G$6,,-1)</f>
        <v>0.15</v>
      </c>
      <c r="F4" s="5">
        <v>1000</v>
      </c>
      <c r="G4" s="7">
        <v>0.1</v>
      </c>
    </row>
    <row r="5" spans="2:7">
      <c r="B5" t="s">
        <v>173</v>
      </c>
      <c r="C5" s="5">
        <v>2092.3283139276195</v>
      </c>
      <c r="D5" s="6">
        <f t="shared" si="0"/>
        <v>0.1</v>
      </c>
      <c r="F5" s="5">
        <v>4000</v>
      </c>
      <c r="G5" s="7">
        <v>0.15</v>
      </c>
    </row>
    <row r="6" spans="2:7">
      <c r="B6" t="s">
        <v>177</v>
      </c>
      <c r="C6" s="5">
        <v>3380.1466125541278</v>
      </c>
      <c r="D6" s="6">
        <f t="shared" si="0"/>
        <v>0.1</v>
      </c>
      <c r="F6" s="5">
        <v>8000</v>
      </c>
      <c r="G6" s="7">
        <v>0.2</v>
      </c>
    </row>
    <row r="7" spans="2:7">
      <c r="B7" t="s">
        <v>178</v>
      </c>
      <c r="C7" s="5">
        <v>6964.0561728480398</v>
      </c>
      <c r="D7" s="6">
        <f t="shared" si="0"/>
        <v>0.15</v>
      </c>
    </row>
    <row r="8" spans="2:7">
      <c r="B8" t="s">
        <v>179</v>
      </c>
      <c r="C8" s="5">
        <v>5012.6200229350716</v>
      </c>
      <c r="D8" s="6">
        <f t="shared" si="0"/>
        <v>0.15</v>
      </c>
    </row>
    <row r="9" spans="2:7">
      <c r="B9" t="s">
        <v>180</v>
      </c>
      <c r="C9" s="5">
        <v>6993.37653924595</v>
      </c>
      <c r="D9" s="6">
        <f t="shared" si="0"/>
        <v>0.15</v>
      </c>
    </row>
    <row r="10" spans="2:7">
      <c r="B10" t="s">
        <v>181</v>
      </c>
      <c r="C10" s="5">
        <v>9916.1225399862142</v>
      </c>
      <c r="D10" s="6">
        <f t="shared" si="0"/>
        <v>0.2</v>
      </c>
    </row>
    <row r="11" spans="2:7">
      <c r="B11" t="s">
        <v>182</v>
      </c>
      <c r="C11" s="5">
        <v>9982.7607672833492</v>
      </c>
      <c r="D11" s="6">
        <f t="shared" si="0"/>
        <v>0.2</v>
      </c>
    </row>
    <row r="12" spans="2:7">
      <c r="B12" t="s">
        <v>183</v>
      </c>
      <c r="C12" s="5">
        <v>9110.2743930674405</v>
      </c>
      <c r="D12" s="6">
        <f t="shared" si="0"/>
        <v>0.2</v>
      </c>
    </row>
    <row r="13" spans="2:7">
      <c r="B13" t="s">
        <v>184</v>
      </c>
      <c r="C13" s="5">
        <v>3222.9027070160741</v>
      </c>
      <c r="D13" s="6">
        <f t="shared" si="0"/>
        <v>0.1</v>
      </c>
    </row>
    <row r="14" spans="2:7">
      <c r="B14" t="s">
        <v>185</v>
      </c>
      <c r="C14" s="5">
        <v>3435.2681701390152</v>
      </c>
      <c r="D14" s="6">
        <f t="shared" si="0"/>
        <v>0.1</v>
      </c>
    </row>
    <row r="15" spans="2:7">
      <c r="B15" t="s">
        <v>186</v>
      </c>
      <c r="C15" s="5">
        <v>6016.4213975740586</v>
      </c>
      <c r="D15" s="6">
        <f t="shared" si="0"/>
        <v>0.15</v>
      </c>
    </row>
    <row r="16" spans="2:7">
      <c r="B16" t="s">
        <v>187</v>
      </c>
      <c r="C16" s="5">
        <v>1734.5840260811419</v>
      </c>
      <c r="D16" s="6">
        <f t="shared" si="0"/>
        <v>0.1</v>
      </c>
    </row>
    <row r="17" spans="2:4">
      <c r="B17" t="s">
        <v>188</v>
      </c>
      <c r="C17" s="5">
        <v>4726.9219681522554</v>
      </c>
      <c r="D17" s="6">
        <f t="shared" si="0"/>
        <v>0.15</v>
      </c>
    </row>
    <row r="18" spans="2:4">
      <c r="B18" t="s">
        <v>189</v>
      </c>
      <c r="C18" s="5">
        <v>3459</v>
      </c>
      <c r="D18" s="6">
        <f t="shared" si="0"/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kenji farre</dc:creator>
  <cp:keywords/>
  <dc:description/>
  <cp:lastModifiedBy/>
  <cp:revision/>
  <dcterms:created xsi:type="dcterms:W3CDTF">2026-03-27T05:26:55Z</dcterms:created>
  <dcterms:modified xsi:type="dcterms:W3CDTF">2026-09-09T10:03:46Z</dcterms:modified>
  <cp:category/>
  <cp:contentStatus/>
</cp:coreProperties>
</file>