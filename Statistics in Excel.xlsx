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xcel tests\"/>
    </mc:Choice>
  </mc:AlternateContent>
  <xr:revisionPtr revIDLastSave="0" documentId="8_{63B2A86F-37E6-49A2-9ACD-5CD86DDA0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 Page" sheetId="2" r:id="rId1"/>
    <sheet name="Sheet1" sheetId="3" r:id="rId2"/>
    <sheet name="Sheet2" sheetId="4" r:id="rId3"/>
    <sheet name="Sheet3" sheetId="5" r:id="rId4"/>
    <sheet name="Sheet5" sheetId="7" r:id="rId5"/>
    <sheet name="Salaries" sheetId="1" r:id="rId6"/>
  </sheets>
  <definedNames>
    <definedName name="_xlnm._FilterDatabase" localSheetId="5" hidden="1">Salaries!$B$2:$J$202</definedName>
    <definedName name="age">#REF!</definedName>
    <definedName name="count">#REF!</definedName>
    <definedName name="wor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 a="1"/>
  <c r="Q4" i="1" a="1"/>
  <c r="R4" i="1" a="1"/>
  <c r="O4" i="1" a="1"/>
  <c r="M3" i="1" a="1"/>
  <c r="L3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<sst xmlns="http://schemas.openxmlformats.org/spreadsheetml/2006/main" count="1278" uniqueCount="444">
  <si>
    <t>Name</t>
  </si>
  <si>
    <t>Department</t>
  </si>
  <si>
    <t>Job Level</t>
  </si>
  <si>
    <t>Location</t>
  </si>
  <si>
    <t>Education</t>
  </si>
  <si>
    <t>Age</t>
  </si>
  <si>
    <t>E001</t>
  </si>
  <si>
    <t>Zara Kumar</t>
  </si>
  <si>
    <t>Sales</t>
  </si>
  <si>
    <t>Senior</t>
  </si>
  <si>
    <t>Remote</t>
  </si>
  <si>
    <t>Master's</t>
  </si>
  <si>
    <t>E002</t>
  </si>
  <si>
    <t>Kofi Smith</t>
  </si>
  <si>
    <t>Mid</t>
  </si>
  <si>
    <t>E003</t>
  </si>
  <si>
    <t>Noah Park</t>
  </si>
  <si>
    <t>Operations</t>
  </si>
  <si>
    <t>Lead</t>
  </si>
  <si>
    <t>Hong Kong</t>
  </si>
  <si>
    <t>Bachelor's</t>
  </si>
  <si>
    <t>E004</t>
  </si>
  <si>
    <t>Clara Rossi</t>
  </si>
  <si>
    <t>Engineering</t>
  </si>
  <si>
    <t>Junior</t>
  </si>
  <si>
    <t>E005</t>
  </si>
  <si>
    <t>Clara Reyes</t>
  </si>
  <si>
    <t>London</t>
  </si>
  <si>
    <t>E006</t>
  </si>
  <si>
    <t>Clara Okafor</t>
  </si>
  <si>
    <t>E007</t>
  </si>
  <si>
    <t>Leila Chen</t>
  </si>
  <si>
    <t>HR</t>
  </si>
  <si>
    <t>Singapore</t>
  </si>
  <si>
    <t>E008</t>
  </si>
  <si>
    <t>Liam Nguyen</t>
  </si>
  <si>
    <t>E009</t>
  </si>
  <si>
    <t>Ana Okafor</t>
  </si>
  <si>
    <t>Finance</t>
  </si>
  <si>
    <t>New York</t>
  </si>
  <si>
    <t>E010</t>
  </si>
  <si>
    <t>Ivy Silva</t>
  </si>
  <si>
    <t>Diploma</t>
  </si>
  <si>
    <t>E011</t>
  </si>
  <si>
    <t>Noah Kumar</t>
  </si>
  <si>
    <t>E012</t>
  </si>
  <si>
    <t>Raj Garcia</t>
  </si>
  <si>
    <t>Customer Support</t>
  </si>
  <si>
    <t>Director</t>
  </si>
  <si>
    <t>E013</t>
  </si>
  <si>
    <t>James Brown</t>
  </si>
  <si>
    <t>E014</t>
  </si>
  <si>
    <t>Sofia Park</t>
  </si>
  <si>
    <t>E015</t>
  </si>
  <si>
    <t>Lucas Chen</t>
  </si>
  <si>
    <t>E016</t>
  </si>
  <si>
    <t>Marco Chen</t>
  </si>
  <si>
    <t>E017</t>
  </si>
  <si>
    <t>Omar Kumar</t>
  </si>
  <si>
    <t>E018</t>
  </si>
  <si>
    <t>Lucas Novak</t>
  </si>
  <si>
    <t>E019</t>
  </si>
  <si>
    <t>Mei Garcia</t>
  </si>
  <si>
    <t>E020</t>
  </si>
  <si>
    <t>Wei Sato</t>
  </si>
  <si>
    <t>E021</t>
  </si>
  <si>
    <t>Raj Sato</t>
  </si>
  <si>
    <t>Manager</t>
  </si>
  <si>
    <t>E022</t>
  </si>
  <si>
    <t>Nina Lim</t>
  </si>
  <si>
    <t>E023</t>
  </si>
  <si>
    <t>Liam Kumar</t>
  </si>
  <si>
    <t>PhD</t>
  </si>
  <si>
    <t>E024</t>
  </si>
  <si>
    <t>E025</t>
  </si>
  <si>
    <t>Zara Garcia</t>
  </si>
  <si>
    <t>E026</t>
  </si>
  <si>
    <t>E027</t>
  </si>
  <si>
    <t>Fatima Wong</t>
  </si>
  <si>
    <t>E028</t>
  </si>
  <si>
    <t>Sven Lim</t>
  </si>
  <si>
    <t>Marketing</t>
  </si>
  <si>
    <t>E029</t>
  </si>
  <si>
    <t>E030</t>
  </si>
  <si>
    <t>Omar Tan</t>
  </si>
  <si>
    <t>E031</t>
  </si>
  <si>
    <t>Raj Lim</t>
  </si>
  <si>
    <t>E032</t>
  </si>
  <si>
    <t>James Ali</t>
  </si>
  <si>
    <t>E033</t>
  </si>
  <si>
    <t>Aisha Haddad</t>
  </si>
  <si>
    <t>E034</t>
  </si>
  <si>
    <t>Leila Park</t>
  </si>
  <si>
    <t>E035</t>
  </si>
  <si>
    <t>Zara Ali</t>
  </si>
  <si>
    <t>E036</t>
  </si>
  <si>
    <t>Fatima Silva</t>
  </si>
  <si>
    <t>E037</t>
  </si>
  <si>
    <t>Grace Okafor</t>
  </si>
  <si>
    <t>E038</t>
  </si>
  <si>
    <t>Sven Haddad</t>
  </si>
  <si>
    <t>E039</t>
  </si>
  <si>
    <t>Zara Muller</t>
  </si>
  <si>
    <t>E040</t>
  </si>
  <si>
    <t>Aisha Chen</t>
  </si>
  <si>
    <t>E041</t>
  </si>
  <si>
    <t>Nina Johnson</t>
  </si>
  <si>
    <t>E042</t>
  </si>
  <si>
    <t>Omar Nguyen</t>
  </si>
  <si>
    <t>E043</t>
  </si>
  <si>
    <t>James Sato</t>
  </si>
  <si>
    <t>E044</t>
  </si>
  <si>
    <t>Wei Park</t>
  </si>
  <si>
    <t>E045</t>
  </si>
  <si>
    <t>Yuki Haddad</t>
  </si>
  <si>
    <t>E046</t>
  </si>
  <si>
    <t>Ethan Lim</t>
  </si>
  <si>
    <t>E047</t>
  </si>
  <si>
    <t>James Tan</t>
  </si>
  <si>
    <t>E048</t>
  </si>
  <si>
    <t>Priya Brown</t>
  </si>
  <si>
    <t>E049</t>
  </si>
  <si>
    <t>Wei Lim</t>
  </si>
  <si>
    <t>E050</t>
  </si>
  <si>
    <t>Wei Muller</t>
  </si>
  <si>
    <t>E051</t>
  </si>
  <si>
    <t>Omar Brown</t>
  </si>
  <si>
    <t>E052</t>
  </si>
  <si>
    <t>Fatima Novak</t>
  </si>
  <si>
    <t>E053</t>
  </si>
  <si>
    <t>Lucas Nguyen</t>
  </si>
  <si>
    <t>E054</t>
  </si>
  <si>
    <t>E055</t>
  </si>
  <si>
    <t>Aisha Brown</t>
  </si>
  <si>
    <t>E056</t>
  </si>
  <si>
    <t>Leila Silva</t>
  </si>
  <si>
    <t>E057</t>
  </si>
  <si>
    <t>Tomas Smith</t>
  </si>
  <si>
    <t>E058</t>
  </si>
  <si>
    <t>Diego Ali</t>
  </si>
  <si>
    <t>E059</t>
  </si>
  <si>
    <t>E060</t>
  </si>
  <si>
    <t>Diego Reyes</t>
  </si>
  <si>
    <t>E061</t>
  </si>
  <si>
    <t>Leila Brown</t>
  </si>
  <si>
    <t>E062</t>
  </si>
  <si>
    <t>E063</t>
  </si>
  <si>
    <t>Clara Brown</t>
  </si>
  <si>
    <t>E064</t>
  </si>
  <si>
    <t>Yuki Silva</t>
  </si>
  <si>
    <t>E065</t>
  </si>
  <si>
    <t>Ana Novak</t>
  </si>
  <si>
    <t>E066</t>
  </si>
  <si>
    <t>E067</t>
  </si>
  <si>
    <t>Mei Novak</t>
  </si>
  <si>
    <t>E068</t>
  </si>
  <si>
    <t>Sven Okafor</t>
  </si>
  <si>
    <t>E069</t>
  </si>
  <si>
    <t>Zara Brown</t>
  </si>
  <si>
    <t>E070</t>
  </si>
  <si>
    <t>Omar Reyes</t>
  </si>
  <si>
    <t>E071</t>
  </si>
  <si>
    <t>Mei Brown</t>
  </si>
  <si>
    <t>E072</t>
  </si>
  <si>
    <t>Sven Silva</t>
  </si>
  <si>
    <t>E073</t>
  </si>
  <si>
    <t>Clara Lim</t>
  </si>
  <si>
    <t>E074</t>
  </si>
  <si>
    <t>Fatima Sato</t>
  </si>
  <si>
    <t>E075</t>
  </si>
  <si>
    <t>Hiro Novak</t>
  </si>
  <si>
    <t>E076</t>
  </si>
  <si>
    <t>Kofi Johnson</t>
  </si>
  <si>
    <t>E077</t>
  </si>
  <si>
    <t>Kofi Novak</t>
  </si>
  <si>
    <t>E078</t>
  </si>
  <si>
    <t>Noah Lim</t>
  </si>
  <si>
    <t>E079</t>
  </si>
  <si>
    <t>Aisha Reyes</t>
  </si>
  <si>
    <t>E080</t>
  </si>
  <si>
    <t>Sven Nguyen</t>
  </si>
  <si>
    <t>E081</t>
  </si>
  <si>
    <t>Clara Johnson</t>
  </si>
  <si>
    <t>E082</t>
  </si>
  <si>
    <t>Chen Nguyen</t>
  </si>
  <si>
    <t>E083</t>
  </si>
  <si>
    <t>E084</t>
  </si>
  <si>
    <t>Aisha Novak</t>
  </si>
  <si>
    <t>E085</t>
  </si>
  <si>
    <t>Ivy Rossi</t>
  </si>
  <si>
    <t>E086</t>
  </si>
  <si>
    <t>Liam Lim</t>
  </si>
  <si>
    <t>E087</t>
  </si>
  <si>
    <t>Ivy Haddad</t>
  </si>
  <si>
    <t>E088</t>
  </si>
  <si>
    <t>E089</t>
  </si>
  <si>
    <t>Priya Lim</t>
  </si>
  <si>
    <t>E090</t>
  </si>
  <si>
    <t>Ivy Tan</t>
  </si>
  <si>
    <t>E091</t>
  </si>
  <si>
    <t>Nina Smith</t>
  </si>
  <si>
    <t>E092</t>
  </si>
  <si>
    <t>Leila Garcia</t>
  </si>
  <si>
    <t>E093</t>
  </si>
  <si>
    <t>Marco Nguyen</t>
  </si>
  <si>
    <t>E094</t>
  </si>
  <si>
    <t>Marco Okafor</t>
  </si>
  <si>
    <t>E095</t>
  </si>
  <si>
    <t>Kofi Sato</t>
  </si>
  <si>
    <t>E096</t>
  </si>
  <si>
    <t>Clara Novak</t>
  </si>
  <si>
    <t>E097</t>
  </si>
  <si>
    <t>Tomas Sato</t>
  </si>
  <si>
    <t>E098</t>
  </si>
  <si>
    <t>Zara Park</t>
  </si>
  <si>
    <t>E099</t>
  </si>
  <si>
    <t>Nina Wong</t>
  </si>
  <si>
    <t>E100</t>
  </si>
  <si>
    <t>Fatima Garcia</t>
  </si>
  <si>
    <t>E101</t>
  </si>
  <si>
    <t>Emma Brown</t>
  </si>
  <si>
    <t>E102</t>
  </si>
  <si>
    <t>Chen Chen</t>
  </si>
  <si>
    <t>E103</t>
  </si>
  <si>
    <t>Yuki Chen</t>
  </si>
  <si>
    <t>E104</t>
  </si>
  <si>
    <t>Diego Kumar</t>
  </si>
  <si>
    <t>E105</t>
  </si>
  <si>
    <t>E106</t>
  </si>
  <si>
    <t>E107</t>
  </si>
  <si>
    <t>Sofia Haddad</t>
  </si>
  <si>
    <t>E108</t>
  </si>
  <si>
    <t>Marco Novak</t>
  </si>
  <si>
    <t>E109</t>
  </si>
  <si>
    <t>E110</t>
  </si>
  <si>
    <t>Olivia Brown</t>
  </si>
  <si>
    <t>E111</t>
  </si>
  <si>
    <t>E112</t>
  </si>
  <si>
    <t>Nina Park</t>
  </si>
  <si>
    <t>E113</t>
  </si>
  <si>
    <t>Grace Tan</t>
  </si>
  <si>
    <t>E114</t>
  </si>
  <si>
    <t>Nina Ali</t>
  </si>
  <si>
    <t>E115</t>
  </si>
  <si>
    <t>Diego Johnson</t>
  </si>
  <si>
    <t>E116</t>
  </si>
  <si>
    <t>E117</t>
  </si>
  <si>
    <t>Liam Garcia</t>
  </si>
  <si>
    <t>E118</t>
  </si>
  <si>
    <t>Emma Muller</t>
  </si>
  <si>
    <t>E119</t>
  </si>
  <si>
    <t>Noah Nguyen</t>
  </si>
  <si>
    <t>E120</t>
  </si>
  <si>
    <t>Diego Novak</t>
  </si>
  <si>
    <t>E121</t>
  </si>
  <si>
    <t>Ethan Wong</t>
  </si>
  <si>
    <t>E122</t>
  </si>
  <si>
    <t>Grace Rossi</t>
  </si>
  <si>
    <t>E123</t>
  </si>
  <si>
    <t>Fatima Haddad</t>
  </si>
  <si>
    <t>E124</t>
  </si>
  <si>
    <t>Grace Brown</t>
  </si>
  <si>
    <t>E125</t>
  </si>
  <si>
    <t>Aisha Silva</t>
  </si>
  <si>
    <t>E126</t>
  </si>
  <si>
    <t>Emma Johnson</t>
  </si>
  <si>
    <t>E127</t>
  </si>
  <si>
    <t>E128</t>
  </si>
  <si>
    <t>Emma Rossi</t>
  </si>
  <si>
    <t>E129</t>
  </si>
  <si>
    <t>Raj Reyes</t>
  </si>
  <si>
    <t>E130</t>
  </si>
  <si>
    <t>Omar Sato</t>
  </si>
  <si>
    <t>E131</t>
  </si>
  <si>
    <t>E132</t>
  </si>
  <si>
    <t>E133</t>
  </si>
  <si>
    <t>Sven Garcia</t>
  </si>
  <si>
    <t>E134</t>
  </si>
  <si>
    <t>Yuki Park</t>
  </si>
  <si>
    <t>E135</t>
  </si>
  <si>
    <t>Marco Johnson</t>
  </si>
  <si>
    <t>E136</t>
  </si>
  <si>
    <t>Leila Lim</t>
  </si>
  <si>
    <t>E137</t>
  </si>
  <si>
    <t>James Wong</t>
  </si>
  <si>
    <t>E138</t>
  </si>
  <si>
    <t>Aisha Smith</t>
  </si>
  <si>
    <t>E139</t>
  </si>
  <si>
    <t>Olivia Kumar</t>
  </si>
  <si>
    <t>E140</t>
  </si>
  <si>
    <t>E141</t>
  </si>
  <si>
    <t>Liam Haddad</t>
  </si>
  <si>
    <t>E142</t>
  </si>
  <si>
    <t>James Chen</t>
  </si>
  <si>
    <t>E143</t>
  </si>
  <si>
    <t>Liam Park</t>
  </si>
  <si>
    <t>E144</t>
  </si>
  <si>
    <t>E145</t>
  </si>
  <si>
    <t>Sofia Chen</t>
  </si>
  <si>
    <t>E146</t>
  </si>
  <si>
    <t>E147</t>
  </si>
  <si>
    <t>Sven Johnson</t>
  </si>
  <si>
    <t>E148</t>
  </si>
  <si>
    <t>E149</t>
  </si>
  <si>
    <t>E150</t>
  </si>
  <si>
    <t>Chen Reyes</t>
  </si>
  <si>
    <t>E151</t>
  </si>
  <si>
    <t>Lucas Okafor</t>
  </si>
  <si>
    <t>E152</t>
  </si>
  <si>
    <t>Hiro Johnson</t>
  </si>
  <si>
    <t>E153</t>
  </si>
  <si>
    <t>Kofi Muller</t>
  </si>
  <si>
    <t>E154</t>
  </si>
  <si>
    <t>Omar Johnson</t>
  </si>
  <si>
    <t>E155</t>
  </si>
  <si>
    <t>Nina Silva</t>
  </si>
  <si>
    <t>E156</t>
  </si>
  <si>
    <t>E157</t>
  </si>
  <si>
    <t>Lucas Kumar</t>
  </si>
  <si>
    <t>E158</t>
  </si>
  <si>
    <t>Leila Ali</t>
  </si>
  <si>
    <t>E159</t>
  </si>
  <si>
    <t>Wei Tan</t>
  </si>
  <si>
    <t>E160</t>
  </si>
  <si>
    <t>E161</t>
  </si>
  <si>
    <t>Zara Reyes</t>
  </si>
  <si>
    <t>E162</t>
  </si>
  <si>
    <t>E163</t>
  </si>
  <si>
    <t>Clara Sato</t>
  </si>
  <si>
    <t>E164</t>
  </si>
  <si>
    <t>E165</t>
  </si>
  <si>
    <t>Grace Haddad</t>
  </si>
  <si>
    <t>E166</t>
  </si>
  <si>
    <t>Fatima Muller</t>
  </si>
  <si>
    <t>E167</t>
  </si>
  <si>
    <t>Lucas Reyes</t>
  </si>
  <si>
    <t>E168</t>
  </si>
  <si>
    <t>Priya Sato</t>
  </si>
  <si>
    <t>E169</t>
  </si>
  <si>
    <t>Sofia Lim</t>
  </si>
  <si>
    <t>E170</t>
  </si>
  <si>
    <t>Yuki Kumar</t>
  </si>
  <si>
    <t>E171</t>
  </si>
  <si>
    <t>Fatima Reyes</t>
  </si>
  <si>
    <t>E172</t>
  </si>
  <si>
    <t>Sofia Garcia</t>
  </si>
  <si>
    <t>E173</t>
  </si>
  <si>
    <t>Lucas Muller</t>
  </si>
  <si>
    <t>E174</t>
  </si>
  <si>
    <t>Nina Tan</t>
  </si>
  <si>
    <t>E175</t>
  </si>
  <si>
    <t>Sofia Brown</t>
  </si>
  <si>
    <t>E176</t>
  </si>
  <si>
    <t>E177</t>
  </si>
  <si>
    <t>Olivia Reyes</t>
  </si>
  <si>
    <t>E178</t>
  </si>
  <si>
    <t>Ana Reyes</t>
  </si>
  <si>
    <t>E179</t>
  </si>
  <si>
    <t>Lucas Brown</t>
  </si>
  <si>
    <t>E180</t>
  </si>
  <si>
    <t>Kofi Silva</t>
  </si>
  <si>
    <t>E181</t>
  </si>
  <si>
    <t>Fatima Park</t>
  </si>
  <si>
    <t>E182</t>
  </si>
  <si>
    <t>Ana Sato</t>
  </si>
  <si>
    <t>E183</t>
  </si>
  <si>
    <t>Chen Novak</t>
  </si>
  <si>
    <t>E184</t>
  </si>
  <si>
    <t>E185</t>
  </si>
  <si>
    <t>E186</t>
  </si>
  <si>
    <t>E187</t>
  </si>
  <si>
    <t>Ana Wong</t>
  </si>
  <si>
    <t>E188</t>
  </si>
  <si>
    <t>Liam Okafor</t>
  </si>
  <si>
    <t>E189</t>
  </si>
  <si>
    <t>Noah Muller</t>
  </si>
  <si>
    <t>E190</t>
  </si>
  <si>
    <t>Lucas Haddad</t>
  </si>
  <si>
    <t>E191</t>
  </si>
  <si>
    <t>E192</t>
  </si>
  <si>
    <t>E193</t>
  </si>
  <si>
    <t>Diego Brown</t>
  </si>
  <si>
    <t>E194</t>
  </si>
  <si>
    <t>Priya Park</t>
  </si>
  <si>
    <t>E195</t>
  </si>
  <si>
    <t>E196</t>
  </si>
  <si>
    <t>Olivia Haddad</t>
  </si>
  <si>
    <t>E197</t>
  </si>
  <si>
    <t>E198</t>
  </si>
  <si>
    <t>Raj Wong</t>
  </si>
  <si>
    <t>E199</t>
  </si>
  <si>
    <t>Fatima Okafor</t>
  </si>
  <si>
    <t>E200</t>
  </si>
  <si>
    <t>Ivy Kumar</t>
  </si>
  <si>
    <t>Years of
Experience</t>
  </si>
  <si>
    <t>Employee
ID</t>
  </si>
  <si>
    <t>Salary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</si>
  <si>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</si>
  <si>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Data Analyst Program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</si>
  <si>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</si>
  <si>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</si>
  <si>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</si>
  <si>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</si>
  <si>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</si>
  <si>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Statistics in Excel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</si>
  <si>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</si>
  <si>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</si>
  <si>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</si>
  <si>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</si>
  <si>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</si>
  <si>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</si>
  <si>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</si>
  <si>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</si>
  <si>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</si>
  <si>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</si>
  <si>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</si>
  <si>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</si>
  <si>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</si>
  <si>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</si>
  <si>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Non- Remote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</si>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</sst>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5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2" fillId="2" borderId="0" xfId="0" applyFont="1" applyFill="1" applyAlignment="1">
      <alignment horizontal="center" vertical="center" wrapText="1"/>
    </xf>
    <xf numFmtId="0" fontId="1" fillId="0" borderId="2" xfId="2" applyBorder="1"/>
    <xf numFmtId="0" fontId="1" fillId="0" borderId="4" xfId="2" applyBorder="1"/>
    <xf numFmtId="0" fontId="1" fillId="3" borderId="0" xfId="2" applyFill="1"/>
    <xf numFmtId="0" fontId="1" fillId="0" borderId="5" xfId="2" applyBorder="1"/>
    <xf numFmtId="0" fontId="5" fillId="0" borderId="0" xfId="2" applyFont="1" applyAlignment="1">
      <alignment horizontal="center" vertical="center"/>
    </xf>
    <xf numFmtId="0" fontId="1" fillId="0" borderId="6" xfId="2" applyBorder="1"/>
    <xf numFmtId="0" fontId="1" fillId="0" borderId="0" xfId="2"/>
    <xf numFmtId="0" fontId="6" fillId="0" borderId="0" xfId="2" applyFont="1" applyAlignment="1">
      <alignment horizontal="center"/>
    </xf>
    <xf numFmtId="0" fontId="1" fillId="0" borderId="5" xfId="2" applyBorder="1" applyAlignment="1">
      <alignment vertical="center"/>
    </xf>
    <xf numFmtId="0" fontId="1" fillId="0" borderId="6" xfId="2" applyBorder="1" applyAlignment="1">
      <alignment vertical="center"/>
    </xf>
    <xf numFmtId="0" fontId="1" fillId="3" borderId="0" xfId="2" applyFill="1" applyAlignment="1">
      <alignment vertical="center"/>
    </xf>
    <xf numFmtId="0" fontId="9" fillId="0" borderId="0" xfId="3" applyFont="1" applyFill="1" applyBorder="1"/>
    <xf numFmtId="0" fontId="10" fillId="0" borderId="8" xfId="2" applyFont="1" applyBorder="1"/>
    <xf numFmtId="0" fontId="1" fillId="0" borderId="0" xfId="2" applyAlignment="1">
      <alignment vertical="top" wrapText="1"/>
    </xf>
    <xf numFmtId="0" fontId="1" fillId="0" borderId="9" xfId="2" applyBorder="1"/>
    <xf numFmtId="0" fontId="1" fillId="0" borderId="8" xfId="2" applyBorder="1"/>
    <xf numFmtId="0" fontId="1" fillId="0" borderId="10" xfId="2" applyBorder="1"/>
    <xf numFmtId="0" fontId="11" fillId="4" borderId="7" xfId="1" applyFont="1" applyFill="1" applyBorder="1" applyAlignment="1">
      <alignment horizontal="center" vertical="center"/>
    </xf>
    <xf numFmtId="0" fontId="8" fillId="0" borderId="0" xfId="1" applyFont="1"/>
    <xf numFmtId="0" fontId="12" fillId="0" borderId="3" xfId="2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11" xfId="0" applyFill="1" applyBorder="1" applyAlignment="1"/>
    <xf numFmtId="0" fontId="13" fillId="0" borderId="12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Continuous"/>
    </xf>
    <xf numFmtId="0" fontId="0" fillId="0" borderId="0" xfId="0" applyFill="1" applyBorder="1" applyAlignment="1">
      <alignment wrapText="1"/>
    </xf>
    <xf numFmtId="0" fontId="13" fillId="0" borderId="12" xfId="0" applyFont="1" applyFill="1" applyBorder="1" applyAlignment="1">
      <alignment horizontal="center" wrapText="1"/>
    </xf>
  </cellXfs>
  <cellStyles count="4">
    <cellStyle name="Hyperlink" xfId="1" builtinId="8"/>
    <cellStyle name="Hyperlink 2" xfId="3" xr:uid="{98EE3CAB-728E-E34F-AB75-729C32C5A6C2}"/>
    <cellStyle name="Normal" xfId="0" builtinId="0"/>
    <cellStyle name="Normal 2 2" xfId="2" xr:uid="{1B92EE17-AF17-0241-A013-404A8F5220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2716955</xdr:colOff>
      <xdr:row>3</xdr:row>
      <xdr:rowOff>91044</xdr:rowOff>
    </xdr:from>
    <xdr:ext cx="2188849" cy="761499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51906-0A6B-984B-AAFB-F766C783F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4773" y="1464953"/>
          <a:ext cx="2188849" cy="7614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areer-track/the-data-analyst-progra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092D-407C-C74C-98D6-87235B357061}">
  <dimension ref="B3:D18"/>
  <sheetViews>
    <sheetView showGridLines="0" tabSelected="1" zoomScale="110" zoomScaleNormal="110" workbookViewId="0">
      <selection activeCell="B3" sqref="B3"/>
    </sheetView>
  </sheetViews>
  <sheetFormatPr defaultColWidth="10.77734375" defaultRowHeight="15.6" x14ac:dyDescent="0.3"/>
  <cols>
    <col min="1" max="1" width="10.77734375" style="8"/>
    <col min="2" max="2" width="8.44140625" style="8" customWidth="1"/>
    <col min="3" max="3" width="95.6640625" style="8" customWidth="1"/>
    <col min="4" max="4" width="9.44140625" style="8" customWidth="1"/>
    <col min="5" max="16384" width="10.77734375" style="8"/>
  </cols>
  <sheetData>
    <row r="3" spans="2:4" ht="70.8" x14ac:dyDescent="0.3">
      <c r="B3" s="6"/>
      <c r="C3" s="25" t="s">
        <v>404</v>
      </c>
      <c r="D3" s="7"/>
    </row>
    <row r="4" spans="2:4" ht="42" customHeight="1" x14ac:dyDescent="0.3">
      <c r="B4" s="9"/>
      <c r="C4" s="10"/>
      <c r="D4" s="11"/>
    </row>
    <row r="5" spans="2:4" ht="22.95" customHeight="1" x14ac:dyDescent="0.3">
      <c r="B5" s="9"/>
      <c r="C5" s="10"/>
      <c r="D5" s="11"/>
    </row>
    <row r="6" spans="2:4" ht="10.95" customHeight="1" x14ac:dyDescent="0.3">
      <c r="B6" s="9"/>
      <c r="C6" s="12"/>
      <c r="D6" s="11"/>
    </row>
    <row r="7" spans="2:4" ht="21" x14ac:dyDescent="0.4">
      <c r="B7" s="9"/>
      <c r="C7" s="13" t="s">
        <v>397</v>
      </c>
      <c r="D7" s="11"/>
    </row>
    <row r="8" spans="2:4" ht="10.95" customHeight="1" x14ac:dyDescent="0.3">
      <c r="B8" s="9"/>
      <c r="C8" s="12"/>
      <c r="D8" s="11"/>
    </row>
    <row r="9" spans="2:4" s="16" customFormat="1" ht="31.2" x14ac:dyDescent="0.3">
      <c r="B9" s="14"/>
      <c r="C9" s="23" t="s">
        <v>398</v>
      </c>
      <c r="D9" s="15"/>
    </row>
    <row r="10" spans="2:4" x14ac:dyDescent="0.3">
      <c r="B10" s="9"/>
      <c r="C10" s="12"/>
      <c r="D10" s="11"/>
    </row>
    <row r="11" spans="2:4" x14ac:dyDescent="0.3">
      <c r="B11" s="9"/>
      <c r="C11" s="24" t="s">
        <v>399</v>
      </c>
      <c r="D11" s="11"/>
    </row>
    <row r="12" spans="2:4" ht="6" customHeight="1" x14ac:dyDescent="0.3">
      <c r="B12" s="9"/>
      <c r="C12" s="12"/>
      <c r="D12" s="11"/>
    </row>
    <row r="13" spans="2:4" ht="18" x14ac:dyDescent="0.35">
      <c r="B13" s="9"/>
      <c r="C13" s="17" t="s">
        <v>400</v>
      </c>
      <c r="D13" s="11"/>
    </row>
    <row r="14" spans="2:4" ht="7.95" customHeight="1" x14ac:dyDescent="0.3">
      <c r="B14" s="9"/>
      <c r="C14" s="12"/>
      <c r="D14" s="11"/>
    </row>
    <row r="15" spans="2:4" x14ac:dyDescent="0.3">
      <c r="B15" s="9"/>
      <c r="C15" s="18" t="s">
        <v>401</v>
      </c>
      <c r="D15" s="11"/>
    </row>
    <row r="16" spans="2:4" x14ac:dyDescent="0.3">
      <c r="B16" s="9"/>
      <c r="C16" s="12" t="s">
        <v>402</v>
      </c>
      <c r="D16" s="11"/>
    </row>
    <row r="17" spans="2:4" ht="31.2" x14ac:dyDescent="0.3">
      <c r="B17" s="9"/>
      <c r="C17" s="19" t="s">
        <v>403</v>
      </c>
      <c r="D17" s="11"/>
    </row>
    <row r="18" spans="2:4" x14ac:dyDescent="0.3">
      <c r="B18" s="20"/>
      <c r="C18" s="21"/>
      <c r="D18" s="22"/>
    </row>
  </sheetData>
  <sheetProtection algorithmName="SHA-512" hashValue="ilfC8vy3XSHQcDsYIIdD/6nL32PJbGYEssbn4QEBNUmfCm05/ApSzOQD53psv8MReAC9n7bnRRO4xE2uv34f3A==" saltValue="cHhYHHbq3yqTPFILnJolQw==" spinCount="100000" sheet="1" objects="1" scenarios="1"/>
  <hyperlinks>
    <hyperlink ref="C9" r:id="rId1" xr:uid="{1BD766B5-8277-FE4C-AFC2-138B1DC0686A}"/>
    <hyperlink ref="C11" location="Salaries!A1" display="Go to Data Here" xr:uid="{0FC7D603-B309-E646-A44E-6EEFD20BB7C5}"/>
    <hyperlink ref="C13" r:id="rId2" display="Made by Kenji Explains" xr:uid="{648011AB-78E9-7648-994F-5BCB10612376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425C-8F01-45AE-8ABD-07361992B3DB}">
  <dimension ref="A1:B15"/>
  <sheetViews>
    <sheetView zoomScale="134" zoomScaleNormal="134" workbookViewId="0">
      <selection activeCell="F6" sqref="F6"/>
    </sheetView>
  </sheetViews>
  <sheetFormatPr defaultRowHeight="14.4" x14ac:dyDescent="0.3"/>
  <cols>
    <col min="1" max="1" width="17" bestFit="1" customWidth="1"/>
  </cols>
  <sheetData>
    <row r="1" spans="1:2" x14ac:dyDescent="0.3">
      <c r="A1" s="29" t="s">
        <v>405</v>
      </c>
      <c r="B1" s="29"/>
    </row>
    <row r="2" spans="1:2" x14ac:dyDescent="0.3">
      <c r="A2" s="26"/>
      <c r="B2" s="26"/>
    </row>
    <row r="3" spans="1:2" x14ac:dyDescent="0.3">
      <c r="A3" s="26" t="s">
        <v>406</v>
      </c>
      <c r="B3" s="26">
        <v>130497.5</v>
      </c>
    </row>
    <row r="4" spans="1:2" x14ac:dyDescent="0.3">
      <c r="A4" s="26" t="s">
        <v>407</v>
      </c>
      <c r="B4" s="26">
        <v>4016.5478963618548</v>
      </c>
    </row>
    <row r="5" spans="1:2" x14ac:dyDescent="0.3">
      <c r="A5" s="26" t="s">
        <v>408</v>
      </c>
      <c r="B5" s="26">
        <v>111000</v>
      </c>
    </row>
    <row r="6" spans="1:2" x14ac:dyDescent="0.3">
      <c r="A6" s="26" t="s">
        <v>409</v>
      </c>
      <c r="B6" s="26">
        <v>111000</v>
      </c>
    </row>
    <row r="7" spans="1:2" x14ac:dyDescent="0.3">
      <c r="A7" s="26" t="s">
        <v>410</v>
      </c>
      <c r="B7" s="26">
        <v>56802.565089560601</v>
      </c>
    </row>
    <row r="8" spans="1:2" x14ac:dyDescent="0.3">
      <c r="A8" s="26" t="s">
        <v>411</v>
      </c>
      <c r="B8" s="26">
        <v>3226531400.7537689</v>
      </c>
    </row>
    <row r="9" spans="1:2" x14ac:dyDescent="0.3">
      <c r="A9" s="26" t="s">
        <v>412</v>
      </c>
      <c r="B9" s="26">
        <v>0.47708967723066786</v>
      </c>
    </row>
    <row r="10" spans="1:2" x14ac:dyDescent="0.3">
      <c r="A10" s="26" t="s">
        <v>413</v>
      </c>
      <c r="B10" s="26">
        <v>0.99284640626473064</v>
      </c>
    </row>
    <row r="11" spans="1:2" x14ac:dyDescent="0.3">
      <c r="A11" s="26" t="s">
        <v>414</v>
      </c>
      <c r="B11" s="26">
        <v>277000</v>
      </c>
    </row>
    <row r="12" spans="1:2" x14ac:dyDescent="0.3">
      <c r="A12" s="26" t="s">
        <v>415</v>
      </c>
      <c r="B12" s="26">
        <v>54500</v>
      </c>
    </row>
    <row r="13" spans="1:2" x14ac:dyDescent="0.3">
      <c r="A13" s="26" t="s">
        <v>416</v>
      </c>
      <c r="B13" s="26">
        <v>331500</v>
      </c>
    </row>
    <row r="14" spans="1:2" x14ac:dyDescent="0.3">
      <c r="A14" s="26" t="s">
        <v>417</v>
      </c>
      <c r="B14" s="26">
        <v>26099500</v>
      </c>
    </row>
    <row r="15" spans="1:2" ht="15" thickBot="1" x14ac:dyDescent="0.35">
      <c r="A15" s="27" t="s">
        <v>418</v>
      </c>
      <c r="B15" s="27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47B9-D1A8-4C15-8DEB-6F14B25A8543}">
  <dimension ref="A1:C13"/>
  <sheetViews>
    <sheetView zoomScale="148" zoomScaleNormal="148" workbookViewId="0">
      <selection activeCell="E10" sqref="E10"/>
    </sheetView>
  </sheetViews>
  <sheetFormatPr defaultRowHeight="14.4" x14ac:dyDescent="0.3"/>
  <cols>
    <col min="2" max="2" width="12.6640625" bestFit="1" customWidth="1"/>
    <col min="3" max="3" width="12.44140625" bestFit="1" customWidth="1"/>
  </cols>
  <sheetData>
    <row r="1" spans="1:3" x14ac:dyDescent="0.3">
      <c r="A1" t="s">
        <v>420</v>
      </c>
    </row>
    <row r="2" spans="1:3" ht="15" thickBot="1" x14ac:dyDescent="0.35"/>
    <row r="3" spans="1:3" x14ac:dyDescent="0.3">
      <c r="A3" s="28"/>
      <c r="B3" s="28" t="s">
        <v>10</v>
      </c>
      <c r="C3" s="28" t="s">
        <v>419</v>
      </c>
    </row>
    <row r="4" spans="1:3" x14ac:dyDescent="0.3">
      <c r="A4" s="26" t="s">
        <v>406</v>
      </c>
      <c r="B4" s="26">
        <v>127931.81818181818</v>
      </c>
      <c r="C4" s="26">
        <v>130497.5</v>
      </c>
    </row>
    <row r="5" spans="1:3" x14ac:dyDescent="0.3">
      <c r="A5" s="26" t="s">
        <v>421</v>
      </c>
      <c r="B5" s="26">
        <v>3882320824.524312</v>
      </c>
      <c r="C5" s="26">
        <v>3226531400.7537689</v>
      </c>
    </row>
    <row r="6" spans="1:3" x14ac:dyDescent="0.3">
      <c r="A6" s="26" t="s">
        <v>422</v>
      </c>
      <c r="B6" s="26">
        <v>44</v>
      </c>
      <c r="C6" s="26">
        <v>200</v>
      </c>
    </row>
    <row r="7" spans="1:3" x14ac:dyDescent="0.3">
      <c r="A7" s="26" t="s">
        <v>423</v>
      </c>
      <c r="B7" s="26">
        <v>0</v>
      </c>
      <c r="C7" s="26"/>
    </row>
    <row r="8" spans="1:3" x14ac:dyDescent="0.3">
      <c r="A8" s="26" t="s">
        <v>424</v>
      </c>
      <c r="B8" s="26">
        <v>60</v>
      </c>
      <c r="C8" s="26"/>
    </row>
    <row r="9" spans="1:3" x14ac:dyDescent="0.3">
      <c r="A9" s="26" t="s">
        <v>425</v>
      </c>
      <c r="B9" s="26">
        <v>-0.25114280256329302</v>
      </c>
      <c r="C9" s="26"/>
    </row>
    <row r="10" spans="1:3" x14ac:dyDescent="0.3">
      <c r="A10" s="26" t="s">
        <v>426</v>
      </c>
      <c r="B10" s="26">
        <v>0.40128091347177497</v>
      </c>
      <c r="C10" s="26"/>
    </row>
    <row r="11" spans="1:3" x14ac:dyDescent="0.3">
      <c r="A11" s="26" t="s">
        <v>427</v>
      </c>
      <c r="B11" s="26">
        <v>1.6706488649046354</v>
      </c>
      <c r="C11" s="26"/>
    </row>
    <row r="12" spans="1:3" x14ac:dyDescent="0.3">
      <c r="A12" s="26" t="s">
        <v>428</v>
      </c>
      <c r="B12" s="26">
        <v>0.80256182694354994</v>
      </c>
      <c r="C12" s="26"/>
    </row>
    <row r="13" spans="1:3" ht="15" thickBot="1" x14ac:dyDescent="0.35">
      <c r="A13" s="27" t="s">
        <v>429</v>
      </c>
      <c r="B13" s="27">
        <v>2.0002978220142609</v>
      </c>
      <c r="C13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9434-2683-475F-945C-111130EE4468}">
  <dimension ref="A1:G16"/>
  <sheetViews>
    <sheetView zoomScale="143" zoomScaleNormal="143" workbookViewId="0">
      <selection activeCell="I14" sqref="I14"/>
    </sheetView>
  </sheetViews>
  <sheetFormatPr defaultRowHeight="14.4" x14ac:dyDescent="0.3"/>
  <cols>
    <col min="1" max="1" width="17.77734375" bestFit="1" customWidth="1"/>
    <col min="7" max="7" width="11" bestFit="1" customWidth="1"/>
  </cols>
  <sheetData>
    <row r="1" spans="1:7" x14ac:dyDescent="0.3">
      <c r="A1" t="s">
        <v>430</v>
      </c>
    </row>
    <row r="3" spans="1:7" ht="15" thickBot="1" x14ac:dyDescent="0.35">
      <c r="A3" t="s">
        <v>431</v>
      </c>
    </row>
    <row r="4" spans="1:7" x14ac:dyDescent="0.3">
      <c r="A4" s="28" t="s">
        <v>432</v>
      </c>
      <c r="B4" s="28" t="s">
        <v>418</v>
      </c>
      <c r="C4" s="28" t="s">
        <v>417</v>
      </c>
      <c r="D4" s="28" t="s">
        <v>433</v>
      </c>
      <c r="E4" s="28" t="s">
        <v>421</v>
      </c>
    </row>
    <row r="5" spans="1:7" x14ac:dyDescent="0.3">
      <c r="A5" s="26" t="s">
        <v>11</v>
      </c>
      <c r="B5" s="26">
        <v>60</v>
      </c>
      <c r="C5" s="26">
        <v>8673000</v>
      </c>
      <c r="D5" s="26">
        <v>144550</v>
      </c>
      <c r="E5" s="26">
        <v>3931133050.8474574</v>
      </c>
    </row>
    <row r="6" spans="1:7" x14ac:dyDescent="0.3">
      <c r="A6" s="26" t="s">
        <v>20</v>
      </c>
      <c r="B6" s="26">
        <v>105</v>
      </c>
      <c r="C6" s="26">
        <v>12900000</v>
      </c>
      <c r="D6" s="26">
        <v>122857.14285714286</v>
      </c>
      <c r="E6" s="26">
        <v>2794320741.7582421</v>
      </c>
    </row>
    <row r="7" spans="1:7" x14ac:dyDescent="0.3">
      <c r="A7" s="26" t="s">
        <v>42</v>
      </c>
      <c r="B7" s="26">
        <v>20</v>
      </c>
      <c r="C7" s="26">
        <v>2268000</v>
      </c>
      <c r="D7" s="26">
        <v>113400</v>
      </c>
      <c r="E7" s="26">
        <v>1816647368.4210527</v>
      </c>
    </row>
    <row r="8" spans="1:7" ht="15" thickBot="1" x14ac:dyDescent="0.35">
      <c r="A8" s="27" t="s">
        <v>72</v>
      </c>
      <c r="B8" s="27">
        <v>15</v>
      </c>
      <c r="C8" s="27">
        <v>2258500</v>
      </c>
      <c r="D8" s="27">
        <v>150566.66666666666</v>
      </c>
      <c r="E8" s="27">
        <v>3939388095.2380939</v>
      </c>
    </row>
    <row r="11" spans="1:7" ht="15" thickBot="1" x14ac:dyDescent="0.35">
      <c r="A11" t="s">
        <v>434</v>
      </c>
    </row>
    <row r="12" spans="1:7" x14ac:dyDescent="0.3">
      <c r="A12" s="28" t="s">
        <v>435</v>
      </c>
      <c r="B12" s="28" t="s">
        <v>436</v>
      </c>
      <c r="C12" s="28" t="s">
        <v>424</v>
      </c>
      <c r="D12" s="28" t="s">
        <v>437</v>
      </c>
      <c r="E12" s="28" t="s">
        <v>438</v>
      </c>
      <c r="F12" s="28" t="s">
        <v>439</v>
      </c>
      <c r="G12" s="28" t="s">
        <v>440</v>
      </c>
    </row>
    <row r="13" spans="1:7" x14ac:dyDescent="0.3">
      <c r="A13" s="26" t="s">
        <v>441</v>
      </c>
      <c r="B13" s="26">
        <v>29865808273.80957</v>
      </c>
      <c r="C13" s="26">
        <v>3</v>
      </c>
      <c r="D13" s="26">
        <v>9955269424.6031895</v>
      </c>
      <c r="E13" s="26">
        <v>3.187174741079112</v>
      </c>
      <c r="F13" s="26">
        <v>2.4876357202957375E-2</v>
      </c>
      <c r="G13" s="26">
        <v>2.6506765101121319</v>
      </c>
    </row>
    <row r="14" spans="1:7" x14ac:dyDescent="0.3">
      <c r="A14" s="26" t="s">
        <v>442</v>
      </c>
      <c r="B14" s="26">
        <v>612213940476.19043</v>
      </c>
      <c r="C14" s="26">
        <v>196</v>
      </c>
      <c r="D14" s="26">
        <v>3123540512.6336246</v>
      </c>
      <c r="E14" s="26"/>
      <c r="F14" s="26"/>
      <c r="G14" s="26"/>
    </row>
    <row r="15" spans="1:7" x14ac:dyDescent="0.3">
      <c r="A15" s="26"/>
      <c r="B15" s="26"/>
      <c r="C15" s="26"/>
      <c r="D15" s="26"/>
      <c r="E15" s="26"/>
      <c r="F15" s="26"/>
      <c r="G15" s="26"/>
    </row>
    <row r="16" spans="1:7" ht="15" thickBot="1" x14ac:dyDescent="0.35">
      <c r="A16" s="27" t="s">
        <v>443</v>
      </c>
      <c r="B16" s="27">
        <v>642079748750</v>
      </c>
      <c r="C16" s="27">
        <v>199</v>
      </c>
      <c r="D16" s="27"/>
      <c r="E16" s="27"/>
      <c r="F16" s="27"/>
      <c r="G16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60C8-B4B6-4DB9-BA9E-BEB0A84E6B7B}">
  <dimension ref="A1:D4"/>
  <sheetViews>
    <sheetView zoomScale="177" zoomScaleNormal="177" workbookViewId="0">
      <selection sqref="A1:D4"/>
    </sheetView>
  </sheetViews>
  <sheetFormatPr defaultRowHeight="14.4" x14ac:dyDescent="0.3"/>
  <sheetData>
    <row r="1" spans="1:4" ht="43.2" x14ac:dyDescent="0.3">
      <c r="A1" s="28"/>
      <c r="B1" s="31" t="s">
        <v>394</v>
      </c>
      <c r="C1" s="28" t="s">
        <v>5</v>
      </c>
      <c r="D1" s="28" t="s">
        <v>396</v>
      </c>
    </row>
    <row r="2" spans="1:4" ht="43.2" x14ac:dyDescent="0.3">
      <c r="A2" s="30" t="s">
        <v>394</v>
      </c>
      <c r="B2" s="26">
        <v>1</v>
      </c>
      <c r="C2" s="26"/>
      <c r="D2" s="26"/>
    </row>
    <row r="3" spans="1:4" x14ac:dyDescent="0.3">
      <c r="A3" s="26" t="s">
        <v>5</v>
      </c>
      <c r="B3" s="26">
        <v>0.94345469924991665</v>
      </c>
      <c r="C3" s="26">
        <v>1</v>
      </c>
      <c r="D3" s="26"/>
    </row>
    <row r="4" spans="1:4" ht="15" thickBot="1" x14ac:dyDescent="0.35">
      <c r="A4" s="27" t="s">
        <v>396</v>
      </c>
      <c r="B4" s="27">
        <v>0.90298615590788134</v>
      </c>
      <c r="C4" s="27">
        <v>0.84379702240041554</v>
      </c>
      <c r="D4" s="2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02"/>
  <sheetViews>
    <sheetView topLeftCell="E182" zoomScale="120" zoomScaleNormal="120" workbookViewId="0">
      <selection activeCell="H2" sqref="H2"/>
    </sheetView>
  </sheetViews>
  <sheetFormatPr defaultColWidth="8.77734375" defaultRowHeight="14.4" x14ac:dyDescent="0.3"/>
  <cols>
    <col min="1" max="1" width="2.77734375" customWidth="1"/>
    <col min="2" max="2" width="10.109375" bestFit="1" customWidth="1"/>
    <col min="3" max="3" width="15.21875" bestFit="1" customWidth="1"/>
    <col min="4" max="4" width="18.21875" bestFit="1" customWidth="1"/>
    <col min="5" max="5" width="9.44140625" bestFit="1" customWidth="1"/>
    <col min="6" max="6" width="10.88671875" bestFit="1" customWidth="1"/>
    <col min="7" max="7" width="10.44140625" bestFit="1" customWidth="1"/>
    <col min="8" max="8" width="11.109375" bestFit="1" customWidth="1"/>
    <col min="9" max="9" width="4.44140625" bestFit="1" customWidth="1"/>
    <col min="10" max="10" width="9.33203125" bestFit="1" customWidth="1"/>
    <col min="12" max="12" width="8.21875" bestFit="1" customWidth="1"/>
    <col min="13" max="13" width="13.44140625" bestFit="1" customWidth="1"/>
    <col min="16" max="16" width="9.5546875" bestFit="1" customWidth="1"/>
  </cols>
  <sheetData>
    <row r="1" spans="2:18" ht="7.8" customHeight="1" x14ac:dyDescent="0.3"/>
    <row r="2" spans="2:18" ht="27" customHeight="1" x14ac:dyDescent="0.3">
      <c r="B2" s="5" t="s">
        <v>395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5" t="s">
        <v>394</v>
      </c>
      <c r="I2" s="1" t="s">
        <v>5</v>
      </c>
      <c r="J2" s="1" t="s">
        <v>396</v>
      </c>
      <c r="L2" s="1" t="s">
        <v>10</v>
      </c>
      <c r="M2" s="1" t="s">
        <v>419</v>
      </c>
    </row>
    <row r="3" spans="2:18" ht="15.6" x14ac:dyDescent="0.3">
      <c r="B3" s="2" t="s">
        <v>6</v>
      </c>
      <c r="C3" s="3" t="s">
        <v>7</v>
      </c>
      <c r="D3" s="3" t="s">
        <v>8</v>
      </c>
      <c r="E3" s="2" t="s">
        <v>9</v>
      </c>
      <c r="F3" s="3" t="s">
        <v>10</v>
      </c>
      <c r="G3" s="3" t="s">
        <v>11</v>
      </c>
      <c r="H3" s="2">
        <v>6</v>
      </c>
      <c r="I3" s="2">
        <v>28</v>
      </c>
      <c r="J3" s="4">
        <v>139000</v>
      </c>
      <c r="L3" cm="1">
        <f t="array" ref="L3:L46">_xlfn._xlws.FILTER(J3:J202,F3:F202="Remote")</f>
        <v>139000</v>
      </c>
      <c r="M3" cm="1">
        <f t="array" ref="M3:M202">_xlfn._xlws.FILTER(J3:J202,G3:G202&lt;&gt;"Remote")</f>
        <v>139000</v>
      </c>
      <c r="O3" t="s">
        <v>11</v>
      </c>
      <c r="P3" t="s">
        <v>20</v>
      </c>
      <c r="Q3" t="s">
        <v>42</v>
      </c>
      <c r="R3" t="s">
        <v>72</v>
      </c>
    </row>
    <row r="4" spans="2:18" ht="15.6" x14ac:dyDescent="0.3">
      <c r="B4" s="2" t="s">
        <v>12</v>
      </c>
      <c r="C4" s="3" t="s">
        <v>13</v>
      </c>
      <c r="D4" s="3" t="s">
        <v>8</v>
      </c>
      <c r="E4" s="2" t="s">
        <v>14</v>
      </c>
      <c r="F4" s="3" t="s">
        <v>10</v>
      </c>
      <c r="G4" s="3" t="s">
        <v>11</v>
      </c>
      <c r="H4" s="2">
        <v>4</v>
      </c>
      <c r="I4" s="2">
        <v>31</v>
      </c>
      <c r="J4" s="4">
        <v>96500</v>
      </c>
      <c r="L4">
        <v>96500</v>
      </c>
      <c r="M4">
        <v>96500</v>
      </c>
      <c r="O4" cm="1">
        <f t="array" ref="O4:O63">_xlfn._xlws.FILTER($J$3:$J$202,$G$3:$G$202=O3)</f>
        <v>139000</v>
      </c>
      <c r="P4" cm="1">
        <f t="array" ref="P4:P108">_xlfn._xlws.FILTER($J$3:$J$202,$G$3:$G$202=P3)</f>
        <v>156000</v>
      </c>
      <c r="Q4" cm="1">
        <f t="array" ref="Q4:Q23">_xlfn._xlws.FILTER($J$3:$J$202,$G$3:$G$202=Q3)</f>
        <v>94500</v>
      </c>
      <c r="R4" cm="1">
        <f t="array" ref="R4:R18">_xlfn._xlws.FILTER($J$3:$J$202,$G$3:$G$202=R3)</f>
        <v>86500</v>
      </c>
    </row>
    <row r="5" spans="2:18" ht="15.6" x14ac:dyDescent="0.3">
      <c r="B5" s="2" t="s">
        <v>15</v>
      </c>
      <c r="C5" s="3" t="s">
        <v>16</v>
      </c>
      <c r="D5" s="3" t="s">
        <v>17</v>
      </c>
      <c r="E5" s="2" t="s">
        <v>18</v>
      </c>
      <c r="F5" s="3" t="s">
        <v>19</v>
      </c>
      <c r="G5" s="3" t="s">
        <v>20</v>
      </c>
      <c r="H5" s="2">
        <v>8</v>
      </c>
      <c r="I5" s="2">
        <v>36</v>
      </c>
      <c r="J5" s="4">
        <v>156000</v>
      </c>
      <c r="L5">
        <v>94500</v>
      </c>
      <c r="M5">
        <v>156000</v>
      </c>
      <c r="O5">
        <v>96500</v>
      </c>
      <c r="P5">
        <v>115000</v>
      </c>
      <c r="Q5">
        <v>105000</v>
      </c>
      <c r="R5">
        <v>215500</v>
      </c>
    </row>
    <row r="6" spans="2:18" ht="15.6" x14ac:dyDescent="0.3">
      <c r="B6" s="2" t="s">
        <v>21</v>
      </c>
      <c r="C6" s="3" t="s">
        <v>22</v>
      </c>
      <c r="D6" s="3" t="s">
        <v>23</v>
      </c>
      <c r="E6" s="2" t="s">
        <v>24</v>
      </c>
      <c r="F6" s="3" t="s">
        <v>19</v>
      </c>
      <c r="G6" s="3" t="s">
        <v>11</v>
      </c>
      <c r="H6" s="2">
        <v>1</v>
      </c>
      <c r="I6" s="2">
        <v>29</v>
      </c>
      <c r="J6" s="4">
        <v>78000</v>
      </c>
      <c r="L6">
        <v>80000</v>
      </c>
      <c r="M6">
        <v>78000</v>
      </c>
      <c r="O6">
        <v>78000</v>
      </c>
      <c r="P6">
        <v>127500</v>
      </c>
      <c r="Q6">
        <v>170500</v>
      </c>
      <c r="R6">
        <v>104000</v>
      </c>
    </row>
    <row r="7" spans="2:18" ht="15.6" x14ac:dyDescent="0.3">
      <c r="B7" s="2" t="s">
        <v>25</v>
      </c>
      <c r="C7" s="3" t="s">
        <v>26</v>
      </c>
      <c r="D7" s="3" t="s">
        <v>8</v>
      </c>
      <c r="E7" s="2" t="s">
        <v>24</v>
      </c>
      <c r="F7" s="3" t="s">
        <v>27</v>
      </c>
      <c r="G7" s="3" t="s">
        <v>11</v>
      </c>
      <c r="H7" s="2">
        <v>3</v>
      </c>
      <c r="I7" s="2">
        <v>28</v>
      </c>
      <c r="J7" s="4">
        <v>78000</v>
      </c>
      <c r="L7">
        <v>102000</v>
      </c>
      <c r="M7">
        <v>78000</v>
      </c>
      <c r="O7">
        <v>78000</v>
      </c>
      <c r="P7">
        <v>211000</v>
      </c>
      <c r="Q7">
        <v>245500</v>
      </c>
      <c r="R7">
        <v>173000</v>
      </c>
    </row>
    <row r="8" spans="2:18" ht="15.6" x14ac:dyDescent="0.3">
      <c r="B8" s="2" t="s">
        <v>28</v>
      </c>
      <c r="C8" s="3" t="s">
        <v>29</v>
      </c>
      <c r="D8" s="3" t="s">
        <v>8</v>
      </c>
      <c r="E8" s="2" t="s">
        <v>18</v>
      </c>
      <c r="F8" s="3" t="s">
        <v>27</v>
      </c>
      <c r="G8" s="3" t="s">
        <v>11</v>
      </c>
      <c r="H8" s="2">
        <v>13</v>
      </c>
      <c r="I8" s="2">
        <v>35</v>
      </c>
      <c r="J8" s="4">
        <v>192500</v>
      </c>
      <c r="L8">
        <v>105000</v>
      </c>
      <c r="M8">
        <v>192500</v>
      </c>
      <c r="O8">
        <v>192500</v>
      </c>
      <c r="P8">
        <v>58000</v>
      </c>
      <c r="Q8">
        <v>146500</v>
      </c>
      <c r="R8">
        <v>280500</v>
      </c>
    </row>
    <row r="9" spans="2:18" ht="15.6" x14ac:dyDescent="0.3">
      <c r="B9" s="2" t="s">
        <v>30</v>
      </c>
      <c r="C9" s="3" t="s">
        <v>31</v>
      </c>
      <c r="D9" s="3" t="s">
        <v>32</v>
      </c>
      <c r="E9" s="2" t="s">
        <v>9</v>
      </c>
      <c r="F9" s="3" t="s">
        <v>33</v>
      </c>
      <c r="G9" s="3" t="s">
        <v>20</v>
      </c>
      <c r="H9" s="2">
        <v>5</v>
      </c>
      <c r="I9" s="2">
        <v>27</v>
      </c>
      <c r="J9" s="4">
        <v>115000</v>
      </c>
      <c r="L9">
        <v>170000</v>
      </c>
      <c r="M9">
        <v>115000</v>
      </c>
      <c r="O9">
        <v>74500</v>
      </c>
      <c r="P9">
        <v>275000</v>
      </c>
      <c r="Q9">
        <v>160000</v>
      </c>
      <c r="R9">
        <v>103500</v>
      </c>
    </row>
    <row r="10" spans="2:18" ht="15.6" x14ac:dyDescent="0.3">
      <c r="B10" s="2" t="s">
        <v>34</v>
      </c>
      <c r="C10" s="3" t="s">
        <v>35</v>
      </c>
      <c r="D10" s="3" t="s">
        <v>17</v>
      </c>
      <c r="E10" s="2" t="s">
        <v>9</v>
      </c>
      <c r="F10" s="3" t="s">
        <v>19</v>
      </c>
      <c r="G10" s="3" t="s">
        <v>20</v>
      </c>
      <c r="H10" s="2">
        <v>11</v>
      </c>
      <c r="I10" s="2">
        <v>35</v>
      </c>
      <c r="J10" s="4">
        <v>127500</v>
      </c>
      <c r="L10">
        <v>163000</v>
      </c>
      <c r="M10">
        <v>127500</v>
      </c>
      <c r="O10">
        <v>161500</v>
      </c>
      <c r="P10">
        <v>60000</v>
      </c>
      <c r="Q10">
        <v>103500</v>
      </c>
      <c r="R10">
        <v>153000</v>
      </c>
    </row>
    <row r="11" spans="2:18" ht="15.6" x14ac:dyDescent="0.3">
      <c r="B11" s="2" t="s">
        <v>36</v>
      </c>
      <c r="C11" s="3" t="s">
        <v>37</v>
      </c>
      <c r="D11" s="3" t="s">
        <v>38</v>
      </c>
      <c r="E11" s="2" t="s">
        <v>18</v>
      </c>
      <c r="F11" s="3" t="s">
        <v>39</v>
      </c>
      <c r="G11" s="3" t="s">
        <v>20</v>
      </c>
      <c r="H11" s="2">
        <v>16</v>
      </c>
      <c r="I11" s="2">
        <v>40</v>
      </c>
      <c r="J11" s="4">
        <v>211000</v>
      </c>
      <c r="L11">
        <v>217000</v>
      </c>
      <c r="M11">
        <v>211000</v>
      </c>
      <c r="O11">
        <v>246000</v>
      </c>
      <c r="P11">
        <v>134500</v>
      </c>
      <c r="Q11">
        <v>56000</v>
      </c>
      <c r="R11">
        <v>155500</v>
      </c>
    </row>
    <row r="12" spans="2:18" ht="15.6" x14ac:dyDescent="0.3">
      <c r="B12" s="2" t="s">
        <v>40</v>
      </c>
      <c r="C12" s="3" t="s">
        <v>41</v>
      </c>
      <c r="D12" s="3" t="s">
        <v>32</v>
      </c>
      <c r="E12" s="2" t="s">
        <v>14</v>
      </c>
      <c r="F12" s="3" t="s">
        <v>39</v>
      </c>
      <c r="G12" s="3" t="s">
        <v>42</v>
      </c>
      <c r="H12" s="2">
        <v>2</v>
      </c>
      <c r="I12" s="2">
        <v>24</v>
      </c>
      <c r="J12" s="4">
        <v>94500</v>
      </c>
      <c r="L12">
        <v>185000</v>
      </c>
      <c r="M12">
        <v>94500</v>
      </c>
      <c r="O12">
        <v>198000</v>
      </c>
      <c r="P12">
        <v>124500</v>
      </c>
      <c r="Q12">
        <v>81500</v>
      </c>
      <c r="R12">
        <v>101000</v>
      </c>
    </row>
    <row r="13" spans="2:18" ht="15.6" x14ac:dyDescent="0.3">
      <c r="B13" s="2" t="s">
        <v>43</v>
      </c>
      <c r="C13" s="3" t="s">
        <v>44</v>
      </c>
      <c r="D13" s="3" t="s">
        <v>17</v>
      </c>
      <c r="E13" s="2" t="s">
        <v>24</v>
      </c>
      <c r="F13" s="3" t="s">
        <v>33</v>
      </c>
      <c r="G13" s="3" t="s">
        <v>20</v>
      </c>
      <c r="H13" s="2">
        <v>0</v>
      </c>
      <c r="I13" s="2">
        <v>24</v>
      </c>
      <c r="J13" s="4">
        <v>58000</v>
      </c>
      <c r="L13">
        <v>67500</v>
      </c>
      <c r="M13">
        <v>58000</v>
      </c>
      <c r="O13">
        <v>102000</v>
      </c>
      <c r="P13">
        <v>121000</v>
      </c>
      <c r="Q13">
        <v>61500</v>
      </c>
      <c r="R13">
        <v>131000</v>
      </c>
    </row>
    <row r="14" spans="2:18" ht="15.6" x14ac:dyDescent="0.3">
      <c r="B14" s="2" t="s">
        <v>45</v>
      </c>
      <c r="C14" s="3" t="s">
        <v>46</v>
      </c>
      <c r="D14" s="3" t="s">
        <v>47</v>
      </c>
      <c r="E14" s="2" t="s">
        <v>48</v>
      </c>
      <c r="F14" s="3" t="s">
        <v>19</v>
      </c>
      <c r="G14" s="3" t="s">
        <v>20</v>
      </c>
      <c r="H14" s="2">
        <v>25</v>
      </c>
      <c r="I14" s="2">
        <v>53</v>
      </c>
      <c r="J14" s="4">
        <v>275000</v>
      </c>
      <c r="L14">
        <v>280500</v>
      </c>
      <c r="M14">
        <v>275000</v>
      </c>
      <c r="O14">
        <v>110500</v>
      </c>
      <c r="P14">
        <v>109000</v>
      </c>
      <c r="Q14">
        <v>111000</v>
      </c>
      <c r="R14">
        <v>104000</v>
      </c>
    </row>
    <row r="15" spans="2:18" ht="15.6" x14ac:dyDescent="0.3">
      <c r="B15" s="2" t="s">
        <v>49</v>
      </c>
      <c r="C15" s="3" t="s">
        <v>50</v>
      </c>
      <c r="D15" s="3" t="s">
        <v>47</v>
      </c>
      <c r="E15" s="2" t="s">
        <v>24</v>
      </c>
      <c r="F15" s="3" t="s">
        <v>33</v>
      </c>
      <c r="G15" s="3" t="s">
        <v>20</v>
      </c>
      <c r="H15" s="2">
        <v>2</v>
      </c>
      <c r="I15" s="2">
        <v>26</v>
      </c>
      <c r="J15" s="4">
        <v>60000</v>
      </c>
      <c r="L15">
        <v>192000</v>
      </c>
      <c r="M15">
        <v>60000</v>
      </c>
      <c r="O15">
        <v>172500</v>
      </c>
      <c r="P15">
        <v>73500</v>
      </c>
      <c r="Q15">
        <v>112500</v>
      </c>
      <c r="R15">
        <v>269500</v>
      </c>
    </row>
    <row r="16" spans="2:18" ht="15.6" x14ac:dyDescent="0.3">
      <c r="B16" s="2" t="s">
        <v>51</v>
      </c>
      <c r="C16" s="3" t="s">
        <v>52</v>
      </c>
      <c r="D16" s="3" t="s">
        <v>8</v>
      </c>
      <c r="E16" s="2" t="s">
        <v>9</v>
      </c>
      <c r="F16" s="3" t="s">
        <v>19</v>
      </c>
      <c r="G16" s="3" t="s">
        <v>20</v>
      </c>
      <c r="H16" s="2">
        <v>5</v>
      </c>
      <c r="I16" s="2">
        <v>31</v>
      </c>
      <c r="J16" s="4">
        <v>134500</v>
      </c>
      <c r="L16">
        <v>105000</v>
      </c>
      <c r="M16">
        <v>134500</v>
      </c>
      <c r="O16">
        <v>163000</v>
      </c>
      <c r="P16">
        <v>94500</v>
      </c>
      <c r="Q16">
        <v>97000</v>
      </c>
      <c r="R16">
        <v>172500</v>
      </c>
    </row>
    <row r="17" spans="2:18" ht="15.6" x14ac:dyDescent="0.3">
      <c r="B17" s="2" t="s">
        <v>53</v>
      </c>
      <c r="C17" s="3" t="s">
        <v>54</v>
      </c>
      <c r="D17" s="3" t="s">
        <v>23</v>
      </c>
      <c r="E17" s="2" t="s">
        <v>14</v>
      </c>
      <c r="F17" s="3" t="s">
        <v>39</v>
      </c>
      <c r="G17" s="3" t="s">
        <v>20</v>
      </c>
      <c r="H17" s="2">
        <v>6</v>
      </c>
      <c r="I17" s="2">
        <v>29</v>
      </c>
      <c r="J17" s="4">
        <v>124500</v>
      </c>
      <c r="L17">
        <v>160000</v>
      </c>
      <c r="M17">
        <v>124500</v>
      </c>
      <c r="O17">
        <v>217000</v>
      </c>
      <c r="P17">
        <v>190500</v>
      </c>
      <c r="Q17">
        <v>86000</v>
      </c>
      <c r="R17">
        <v>128500</v>
      </c>
    </row>
    <row r="18" spans="2:18" ht="15.6" x14ac:dyDescent="0.3">
      <c r="B18" s="2" t="s">
        <v>55</v>
      </c>
      <c r="C18" s="3" t="s">
        <v>56</v>
      </c>
      <c r="D18" s="3" t="s">
        <v>47</v>
      </c>
      <c r="E18" s="2" t="s">
        <v>24</v>
      </c>
      <c r="F18" s="3" t="s">
        <v>33</v>
      </c>
      <c r="G18" s="3" t="s">
        <v>11</v>
      </c>
      <c r="H18" s="2">
        <v>0</v>
      </c>
      <c r="I18" s="2">
        <v>22</v>
      </c>
      <c r="J18" s="4">
        <v>74500</v>
      </c>
      <c r="L18">
        <v>107000</v>
      </c>
      <c r="M18">
        <v>74500</v>
      </c>
      <c r="O18">
        <v>95500</v>
      </c>
      <c r="P18">
        <v>58000</v>
      </c>
      <c r="Q18">
        <v>110000</v>
      </c>
      <c r="R18">
        <v>80500</v>
      </c>
    </row>
    <row r="19" spans="2:18" ht="15.6" x14ac:dyDescent="0.3">
      <c r="B19" s="2" t="s">
        <v>57</v>
      </c>
      <c r="C19" s="3" t="s">
        <v>58</v>
      </c>
      <c r="D19" s="3" t="s">
        <v>38</v>
      </c>
      <c r="E19" s="2" t="s">
        <v>14</v>
      </c>
      <c r="F19" s="3" t="s">
        <v>27</v>
      </c>
      <c r="G19" s="3" t="s">
        <v>20</v>
      </c>
      <c r="H19" s="2">
        <v>7</v>
      </c>
      <c r="I19" s="2">
        <v>32</v>
      </c>
      <c r="J19" s="4">
        <v>121000</v>
      </c>
      <c r="L19">
        <v>61500</v>
      </c>
      <c r="M19">
        <v>121000</v>
      </c>
      <c r="O19">
        <v>102000</v>
      </c>
      <c r="P19">
        <v>80000</v>
      </c>
      <c r="Q19">
        <v>105500</v>
      </c>
    </row>
    <row r="20" spans="2:18" ht="15.6" x14ac:dyDescent="0.3">
      <c r="B20" s="2" t="s">
        <v>59</v>
      </c>
      <c r="C20" s="3" t="s">
        <v>60</v>
      </c>
      <c r="D20" s="3" t="s">
        <v>23</v>
      </c>
      <c r="E20" s="2" t="s">
        <v>14</v>
      </c>
      <c r="F20" s="3" t="s">
        <v>19</v>
      </c>
      <c r="G20" s="3" t="s">
        <v>20</v>
      </c>
      <c r="H20" s="2">
        <v>3</v>
      </c>
      <c r="I20" s="2">
        <v>29</v>
      </c>
      <c r="J20" s="4">
        <v>109000</v>
      </c>
      <c r="L20">
        <v>105500</v>
      </c>
      <c r="M20">
        <v>109000</v>
      </c>
      <c r="O20">
        <v>87500</v>
      </c>
      <c r="P20">
        <v>89500</v>
      </c>
      <c r="Q20">
        <v>101500</v>
      </c>
    </row>
    <row r="21" spans="2:18" ht="15.6" x14ac:dyDescent="0.3">
      <c r="B21" s="2" t="s">
        <v>61</v>
      </c>
      <c r="C21" s="3" t="s">
        <v>62</v>
      </c>
      <c r="D21" s="3" t="s">
        <v>23</v>
      </c>
      <c r="E21" s="2" t="s">
        <v>24</v>
      </c>
      <c r="F21" s="3" t="s">
        <v>19</v>
      </c>
      <c r="G21" s="3" t="s">
        <v>20</v>
      </c>
      <c r="H21" s="2">
        <v>1</v>
      </c>
      <c r="I21" s="2">
        <v>28</v>
      </c>
      <c r="J21" s="4">
        <v>73500</v>
      </c>
      <c r="L21">
        <v>60000</v>
      </c>
      <c r="M21">
        <v>73500</v>
      </c>
      <c r="O21">
        <v>105000</v>
      </c>
      <c r="P21">
        <v>216000</v>
      </c>
      <c r="Q21">
        <v>85000</v>
      </c>
    </row>
    <row r="22" spans="2:18" ht="15.6" x14ac:dyDescent="0.3">
      <c r="B22" s="2" t="s">
        <v>63</v>
      </c>
      <c r="C22" s="3" t="s">
        <v>64</v>
      </c>
      <c r="D22" s="3" t="s">
        <v>38</v>
      </c>
      <c r="E22" s="2" t="s">
        <v>14</v>
      </c>
      <c r="F22" s="3" t="s">
        <v>10</v>
      </c>
      <c r="G22" s="3" t="s">
        <v>20</v>
      </c>
      <c r="H22" s="2">
        <v>5</v>
      </c>
      <c r="I22" s="2">
        <v>27</v>
      </c>
      <c r="J22" s="4">
        <v>94500</v>
      </c>
      <c r="L22">
        <v>74000</v>
      </c>
      <c r="M22">
        <v>94500</v>
      </c>
      <c r="O22">
        <v>248500</v>
      </c>
      <c r="P22">
        <v>106500</v>
      </c>
      <c r="Q22">
        <v>96000</v>
      </c>
    </row>
    <row r="23" spans="2:18" ht="15.6" x14ac:dyDescent="0.3">
      <c r="B23" s="2" t="s">
        <v>65</v>
      </c>
      <c r="C23" s="3" t="s">
        <v>66</v>
      </c>
      <c r="D23" s="3" t="s">
        <v>47</v>
      </c>
      <c r="E23" s="2" t="s">
        <v>67</v>
      </c>
      <c r="F23" s="3" t="s">
        <v>33</v>
      </c>
      <c r="G23" s="3" t="s">
        <v>20</v>
      </c>
      <c r="H23" s="2">
        <v>10</v>
      </c>
      <c r="I23" s="2">
        <v>37</v>
      </c>
      <c r="J23" s="4">
        <v>190500</v>
      </c>
      <c r="L23">
        <v>153000</v>
      </c>
      <c r="M23">
        <v>190500</v>
      </c>
      <c r="O23">
        <v>138000</v>
      </c>
      <c r="P23">
        <v>118500</v>
      </c>
      <c r="Q23">
        <v>139000</v>
      </c>
    </row>
    <row r="24" spans="2:18" ht="15.6" x14ac:dyDescent="0.3">
      <c r="B24" s="2" t="s">
        <v>68</v>
      </c>
      <c r="C24" s="3" t="s">
        <v>69</v>
      </c>
      <c r="D24" s="3" t="s">
        <v>47</v>
      </c>
      <c r="E24" s="2" t="s">
        <v>24</v>
      </c>
      <c r="F24" s="3" t="s">
        <v>27</v>
      </c>
      <c r="G24" s="3" t="s">
        <v>20</v>
      </c>
      <c r="H24" s="2">
        <v>0</v>
      </c>
      <c r="I24" s="2">
        <v>27</v>
      </c>
      <c r="J24" s="4">
        <v>58000</v>
      </c>
      <c r="L24">
        <v>103000</v>
      </c>
      <c r="M24">
        <v>58000</v>
      </c>
      <c r="O24">
        <v>98000</v>
      </c>
      <c r="P24">
        <v>170000</v>
      </c>
    </row>
    <row r="25" spans="2:18" ht="15.6" x14ac:dyDescent="0.3">
      <c r="B25" s="2" t="s">
        <v>70</v>
      </c>
      <c r="C25" s="3" t="s">
        <v>71</v>
      </c>
      <c r="D25" s="3" t="s">
        <v>38</v>
      </c>
      <c r="E25" s="2" t="s">
        <v>24</v>
      </c>
      <c r="F25" s="3" t="s">
        <v>19</v>
      </c>
      <c r="G25" s="3" t="s">
        <v>72</v>
      </c>
      <c r="H25" s="2">
        <v>1</v>
      </c>
      <c r="I25" s="2">
        <v>26</v>
      </c>
      <c r="J25" s="4">
        <v>86500</v>
      </c>
      <c r="L25">
        <v>164000</v>
      </c>
      <c r="M25">
        <v>86500</v>
      </c>
      <c r="O25">
        <v>107000</v>
      </c>
      <c r="P25">
        <v>72000</v>
      </c>
    </row>
    <row r="26" spans="2:18" ht="15.6" x14ac:dyDescent="0.3">
      <c r="B26" s="2" t="s">
        <v>73</v>
      </c>
      <c r="C26" s="3" t="s">
        <v>64</v>
      </c>
      <c r="D26" s="3" t="s">
        <v>23</v>
      </c>
      <c r="E26" s="2" t="s">
        <v>9</v>
      </c>
      <c r="F26" s="3" t="s">
        <v>33</v>
      </c>
      <c r="G26" s="3" t="s">
        <v>11</v>
      </c>
      <c r="H26" s="2">
        <v>11</v>
      </c>
      <c r="I26" s="2">
        <v>37</v>
      </c>
      <c r="J26" s="4">
        <v>161500</v>
      </c>
      <c r="L26">
        <v>62500</v>
      </c>
      <c r="M26">
        <v>161500</v>
      </c>
      <c r="O26">
        <v>148000</v>
      </c>
      <c r="P26">
        <v>203500</v>
      </c>
    </row>
    <row r="27" spans="2:18" ht="15.6" x14ac:dyDescent="0.3">
      <c r="B27" s="2" t="s">
        <v>74</v>
      </c>
      <c r="C27" s="3" t="s">
        <v>75</v>
      </c>
      <c r="D27" s="3" t="s">
        <v>23</v>
      </c>
      <c r="E27" s="2" t="s">
        <v>24</v>
      </c>
      <c r="F27" s="3" t="s">
        <v>10</v>
      </c>
      <c r="G27" s="3" t="s">
        <v>20</v>
      </c>
      <c r="H27" s="2">
        <v>3</v>
      </c>
      <c r="I27" s="2">
        <v>27</v>
      </c>
      <c r="J27" s="4">
        <v>80000</v>
      </c>
      <c r="L27">
        <v>236500</v>
      </c>
      <c r="M27">
        <v>80000</v>
      </c>
      <c r="O27">
        <v>98500</v>
      </c>
      <c r="P27">
        <v>190000</v>
      </c>
    </row>
    <row r="28" spans="2:18" ht="15.6" x14ac:dyDescent="0.3">
      <c r="B28" s="2" t="s">
        <v>76</v>
      </c>
      <c r="C28" s="3" t="s">
        <v>56</v>
      </c>
      <c r="D28" s="3" t="s">
        <v>23</v>
      </c>
      <c r="E28" s="2" t="s">
        <v>67</v>
      </c>
      <c r="F28" s="3" t="s">
        <v>19</v>
      </c>
      <c r="G28" s="3" t="s">
        <v>11</v>
      </c>
      <c r="H28" s="2">
        <v>19</v>
      </c>
      <c r="I28" s="2">
        <v>41</v>
      </c>
      <c r="J28" s="4">
        <v>246000</v>
      </c>
      <c r="L28">
        <v>69000</v>
      </c>
      <c r="M28">
        <v>246000</v>
      </c>
      <c r="O28">
        <v>154000</v>
      </c>
      <c r="P28">
        <v>185000</v>
      </c>
    </row>
    <row r="29" spans="2:18" ht="15.6" x14ac:dyDescent="0.3">
      <c r="B29" s="2" t="s">
        <v>77</v>
      </c>
      <c r="C29" s="3" t="s">
        <v>78</v>
      </c>
      <c r="D29" s="3" t="s">
        <v>32</v>
      </c>
      <c r="E29" s="2" t="s">
        <v>67</v>
      </c>
      <c r="F29" s="3" t="s">
        <v>33</v>
      </c>
      <c r="G29" s="3" t="s">
        <v>11</v>
      </c>
      <c r="H29" s="2">
        <v>19</v>
      </c>
      <c r="I29" s="2">
        <v>41</v>
      </c>
      <c r="J29" s="4">
        <v>198000</v>
      </c>
      <c r="L29">
        <v>131000</v>
      </c>
      <c r="M29">
        <v>198000</v>
      </c>
      <c r="O29">
        <v>288000</v>
      </c>
      <c r="P29">
        <v>67500</v>
      </c>
    </row>
    <row r="30" spans="2:18" ht="15.6" x14ac:dyDescent="0.3">
      <c r="B30" s="2" t="s">
        <v>79</v>
      </c>
      <c r="C30" s="3" t="s">
        <v>80</v>
      </c>
      <c r="D30" s="3" t="s">
        <v>81</v>
      </c>
      <c r="E30" s="2" t="s">
        <v>14</v>
      </c>
      <c r="F30" s="3" t="s">
        <v>10</v>
      </c>
      <c r="G30" s="3" t="s">
        <v>11</v>
      </c>
      <c r="H30" s="2">
        <v>3</v>
      </c>
      <c r="I30" s="2">
        <v>27</v>
      </c>
      <c r="J30" s="4">
        <v>102000</v>
      </c>
      <c r="L30">
        <v>86500</v>
      </c>
      <c r="M30">
        <v>102000</v>
      </c>
      <c r="O30">
        <v>157500</v>
      </c>
      <c r="P30">
        <v>143500</v>
      </c>
    </row>
    <row r="31" spans="2:18" ht="15.6" x14ac:dyDescent="0.3">
      <c r="B31" s="2" t="s">
        <v>82</v>
      </c>
      <c r="C31" s="3" t="s">
        <v>44</v>
      </c>
      <c r="D31" s="3" t="s">
        <v>38</v>
      </c>
      <c r="E31" s="2" t="s">
        <v>14</v>
      </c>
      <c r="F31" s="3" t="s">
        <v>27</v>
      </c>
      <c r="G31" s="3" t="s">
        <v>11</v>
      </c>
      <c r="H31" s="2">
        <v>7</v>
      </c>
      <c r="I31" s="2">
        <v>34</v>
      </c>
      <c r="J31" s="4">
        <v>110500</v>
      </c>
      <c r="L31">
        <v>88000</v>
      </c>
      <c r="M31">
        <v>110500</v>
      </c>
      <c r="O31">
        <v>145000</v>
      </c>
      <c r="P31">
        <v>64000</v>
      </c>
    </row>
    <row r="32" spans="2:18" ht="15.6" x14ac:dyDescent="0.3">
      <c r="B32" s="2" t="s">
        <v>83</v>
      </c>
      <c r="C32" s="3" t="s">
        <v>84</v>
      </c>
      <c r="D32" s="3" t="s">
        <v>38</v>
      </c>
      <c r="E32" s="2" t="s">
        <v>18</v>
      </c>
      <c r="F32" s="3" t="s">
        <v>39</v>
      </c>
      <c r="G32" s="3" t="s">
        <v>72</v>
      </c>
      <c r="H32" s="2">
        <v>13</v>
      </c>
      <c r="I32" s="2">
        <v>36</v>
      </c>
      <c r="J32" s="4">
        <v>215500</v>
      </c>
      <c r="L32">
        <v>104000</v>
      </c>
      <c r="M32">
        <v>215500</v>
      </c>
      <c r="O32">
        <v>213000</v>
      </c>
      <c r="P32">
        <v>54500</v>
      </c>
    </row>
    <row r="33" spans="2:16" ht="15.6" x14ac:dyDescent="0.3">
      <c r="B33" s="2" t="s">
        <v>85</v>
      </c>
      <c r="C33" s="3" t="s">
        <v>86</v>
      </c>
      <c r="D33" s="3" t="s">
        <v>23</v>
      </c>
      <c r="E33" s="2" t="s">
        <v>24</v>
      </c>
      <c r="F33" s="3" t="s">
        <v>39</v>
      </c>
      <c r="G33" s="3" t="s">
        <v>20</v>
      </c>
      <c r="H33" s="2">
        <v>2</v>
      </c>
      <c r="I33" s="2">
        <v>28</v>
      </c>
      <c r="J33" s="4">
        <v>89500</v>
      </c>
      <c r="L33">
        <v>86000</v>
      </c>
      <c r="M33">
        <v>89500</v>
      </c>
      <c r="O33">
        <v>246500</v>
      </c>
      <c r="P33">
        <v>68500</v>
      </c>
    </row>
    <row r="34" spans="2:16" ht="15.6" x14ac:dyDescent="0.3">
      <c r="B34" s="2" t="s">
        <v>87</v>
      </c>
      <c r="C34" s="3" t="s">
        <v>88</v>
      </c>
      <c r="D34" s="3" t="s">
        <v>23</v>
      </c>
      <c r="E34" s="2" t="s">
        <v>18</v>
      </c>
      <c r="F34" s="3" t="s">
        <v>39</v>
      </c>
      <c r="G34" s="3" t="s">
        <v>20</v>
      </c>
      <c r="H34" s="2">
        <v>10</v>
      </c>
      <c r="I34" s="2">
        <v>33</v>
      </c>
      <c r="J34" s="4">
        <v>216000</v>
      </c>
      <c r="L34">
        <v>151500</v>
      </c>
      <c r="M34">
        <v>216000</v>
      </c>
      <c r="O34">
        <v>74000</v>
      </c>
      <c r="P34">
        <v>130000</v>
      </c>
    </row>
    <row r="35" spans="2:16" ht="15.6" x14ac:dyDescent="0.3">
      <c r="B35" s="2" t="s">
        <v>89</v>
      </c>
      <c r="C35" s="3" t="s">
        <v>90</v>
      </c>
      <c r="D35" s="3" t="s">
        <v>23</v>
      </c>
      <c r="E35" s="2" t="s">
        <v>14</v>
      </c>
      <c r="F35" s="3" t="s">
        <v>10</v>
      </c>
      <c r="G35" s="3" t="s">
        <v>42</v>
      </c>
      <c r="H35" s="2">
        <v>4</v>
      </c>
      <c r="I35" s="2">
        <v>32</v>
      </c>
      <c r="J35" s="4">
        <v>105000</v>
      </c>
      <c r="L35">
        <v>140000</v>
      </c>
      <c r="M35">
        <v>105000</v>
      </c>
      <c r="O35">
        <v>259500</v>
      </c>
      <c r="P35">
        <v>109500</v>
      </c>
    </row>
    <row r="36" spans="2:16" ht="15.6" x14ac:dyDescent="0.3">
      <c r="B36" s="2" t="s">
        <v>91</v>
      </c>
      <c r="C36" s="3" t="s">
        <v>92</v>
      </c>
      <c r="D36" s="3" t="s">
        <v>32</v>
      </c>
      <c r="E36" s="2" t="s">
        <v>18</v>
      </c>
      <c r="F36" s="3" t="s">
        <v>19</v>
      </c>
      <c r="G36" s="3" t="s">
        <v>11</v>
      </c>
      <c r="H36" s="2">
        <v>14</v>
      </c>
      <c r="I36" s="2">
        <v>36</v>
      </c>
      <c r="J36" s="4">
        <v>172500</v>
      </c>
      <c r="L36">
        <v>110000</v>
      </c>
      <c r="M36">
        <v>172500</v>
      </c>
      <c r="O36">
        <v>120000</v>
      </c>
      <c r="P36">
        <v>109000</v>
      </c>
    </row>
    <row r="37" spans="2:16" ht="15.6" x14ac:dyDescent="0.3">
      <c r="B37" s="2" t="s">
        <v>93</v>
      </c>
      <c r="C37" s="3" t="s">
        <v>94</v>
      </c>
      <c r="D37" s="3" t="s">
        <v>17</v>
      </c>
      <c r="E37" s="2" t="s">
        <v>14</v>
      </c>
      <c r="F37" s="3" t="s">
        <v>27</v>
      </c>
      <c r="G37" s="3" t="s">
        <v>20</v>
      </c>
      <c r="H37" s="2">
        <v>4</v>
      </c>
      <c r="I37" s="2">
        <v>29</v>
      </c>
      <c r="J37" s="4">
        <v>106500</v>
      </c>
      <c r="L37">
        <v>260000</v>
      </c>
      <c r="M37">
        <v>106500</v>
      </c>
      <c r="O37">
        <v>158000</v>
      </c>
      <c r="P37">
        <v>98500</v>
      </c>
    </row>
    <row r="38" spans="2:16" ht="15.6" x14ac:dyDescent="0.3">
      <c r="B38" s="2" t="s">
        <v>95</v>
      </c>
      <c r="C38" s="3" t="s">
        <v>96</v>
      </c>
      <c r="D38" s="3" t="s">
        <v>8</v>
      </c>
      <c r="E38" s="2" t="s">
        <v>14</v>
      </c>
      <c r="F38" s="3" t="s">
        <v>19</v>
      </c>
      <c r="G38" s="3" t="s">
        <v>20</v>
      </c>
      <c r="H38" s="2">
        <v>6</v>
      </c>
      <c r="I38" s="2">
        <v>34</v>
      </c>
      <c r="J38" s="4">
        <v>118500</v>
      </c>
      <c r="L38">
        <v>331500</v>
      </c>
      <c r="M38">
        <v>118500</v>
      </c>
      <c r="O38">
        <v>93000</v>
      </c>
      <c r="P38">
        <v>80500</v>
      </c>
    </row>
    <row r="39" spans="2:16" ht="15.6" x14ac:dyDescent="0.3">
      <c r="B39" s="2" t="s">
        <v>97</v>
      </c>
      <c r="C39" s="3" t="s">
        <v>98</v>
      </c>
      <c r="D39" s="3" t="s">
        <v>17</v>
      </c>
      <c r="E39" s="2" t="s">
        <v>18</v>
      </c>
      <c r="F39" s="3" t="s">
        <v>10</v>
      </c>
      <c r="G39" s="3" t="s">
        <v>20</v>
      </c>
      <c r="H39" s="2">
        <v>14</v>
      </c>
      <c r="I39" s="2">
        <v>40</v>
      </c>
      <c r="J39" s="4">
        <v>170000</v>
      </c>
      <c r="L39">
        <v>68000</v>
      </c>
      <c r="M39">
        <v>170000</v>
      </c>
      <c r="O39">
        <v>236500</v>
      </c>
      <c r="P39">
        <v>98500</v>
      </c>
    </row>
    <row r="40" spans="2:16" ht="15.6" x14ac:dyDescent="0.3">
      <c r="B40" s="2" t="s">
        <v>99</v>
      </c>
      <c r="C40" s="3" t="s">
        <v>100</v>
      </c>
      <c r="D40" s="3" t="s">
        <v>23</v>
      </c>
      <c r="E40" s="2" t="s">
        <v>18</v>
      </c>
      <c r="F40" s="3" t="s">
        <v>19</v>
      </c>
      <c r="G40" s="3" t="s">
        <v>42</v>
      </c>
      <c r="H40" s="2">
        <v>13</v>
      </c>
      <c r="I40" s="2">
        <v>40</v>
      </c>
      <c r="J40" s="4">
        <v>170500</v>
      </c>
      <c r="L40">
        <v>112000</v>
      </c>
      <c r="M40">
        <v>170500</v>
      </c>
      <c r="O40">
        <v>69000</v>
      </c>
      <c r="P40">
        <v>160500</v>
      </c>
    </row>
    <row r="41" spans="2:16" ht="15.6" x14ac:dyDescent="0.3">
      <c r="B41" s="2" t="s">
        <v>101</v>
      </c>
      <c r="C41" s="3" t="s">
        <v>102</v>
      </c>
      <c r="D41" s="3" t="s">
        <v>81</v>
      </c>
      <c r="E41" s="2" t="s">
        <v>18</v>
      </c>
      <c r="F41" s="3" t="s">
        <v>10</v>
      </c>
      <c r="G41" s="3" t="s">
        <v>11</v>
      </c>
      <c r="H41" s="2">
        <v>16</v>
      </c>
      <c r="I41" s="2">
        <v>44</v>
      </c>
      <c r="J41" s="4">
        <v>163000</v>
      </c>
      <c r="L41">
        <v>142500</v>
      </c>
      <c r="M41">
        <v>163000</v>
      </c>
      <c r="O41">
        <v>91000</v>
      </c>
      <c r="P41">
        <v>78500</v>
      </c>
    </row>
    <row r="42" spans="2:16" ht="15.6" x14ac:dyDescent="0.3">
      <c r="B42" s="2" t="s">
        <v>103</v>
      </c>
      <c r="C42" s="3" t="s">
        <v>104</v>
      </c>
      <c r="D42" s="3" t="s">
        <v>81</v>
      </c>
      <c r="E42" s="2" t="s">
        <v>24</v>
      </c>
      <c r="F42" s="3" t="s">
        <v>19</v>
      </c>
      <c r="G42" s="3" t="s">
        <v>20</v>
      </c>
      <c r="H42" s="2">
        <v>2</v>
      </c>
      <c r="I42" s="2">
        <v>27</v>
      </c>
      <c r="J42" s="4">
        <v>72000</v>
      </c>
      <c r="L42">
        <v>69000</v>
      </c>
      <c r="M42">
        <v>72000</v>
      </c>
      <c r="O42">
        <v>112500</v>
      </c>
      <c r="P42">
        <v>192000</v>
      </c>
    </row>
    <row r="43" spans="2:16" ht="15.6" x14ac:dyDescent="0.3">
      <c r="B43" s="2" t="s">
        <v>105</v>
      </c>
      <c r="C43" s="3" t="s">
        <v>106</v>
      </c>
      <c r="D43" s="3" t="s">
        <v>23</v>
      </c>
      <c r="E43" s="2" t="s">
        <v>67</v>
      </c>
      <c r="F43" s="3" t="s">
        <v>39</v>
      </c>
      <c r="G43" s="3" t="s">
        <v>42</v>
      </c>
      <c r="H43" s="2">
        <v>15</v>
      </c>
      <c r="I43" s="2">
        <v>41</v>
      </c>
      <c r="J43" s="4">
        <v>245500</v>
      </c>
      <c r="L43">
        <v>71500</v>
      </c>
      <c r="M43">
        <v>245500</v>
      </c>
      <c r="O43">
        <v>88000</v>
      </c>
      <c r="P43">
        <v>164500</v>
      </c>
    </row>
    <row r="44" spans="2:16" ht="15.6" x14ac:dyDescent="0.3">
      <c r="B44" s="2" t="s">
        <v>107</v>
      </c>
      <c r="C44" s="3" t="s">
        <v>108</v>
      </c>
      <c r="D44" s="3" t="s">
        <v>32</v>
      </c>
      <c r="E44" s="2" t="s">
        <v>67</v>
      </c>
      <c r="F44" s="3" t="s">
        <v>27</v>
      </c>
      <c r="G44" s="3" t="s">
        <v>20</v>
      </c>
      <c r="H44" s="2">
        <v>15</v>
      </c>
      <c r="I44" s="2">
        <v>39</v>
      </c>
      <c r="J44" s="4">
        <v>203500</v>
      </c>
      <c r="L44">
        <v>124500</v>
      </c>
      <c r="M44">
        <v>203500</v>
      </c>
      <c r="O44">
        <v>64500</v>
      </c>
      <c r="P44">
        <v>221000</v>
      </c>
    </row>
    <row r="45" spans="2:16" ht="15.6" x14ac:dyDescent="0.3">
      <c r="B45" s="2" t="s">
        <v>109</v>
      </c>
      <c r="C45" s="3" t="s">
        <v>110</v>
      </c>
      <c r="D45" s="3" t="s">
        <v>17</v>
      </c>
      <c r="E45" s="2" t="s">
        <v>14</v>
      </c>
      <c r="F45" s="3" t="s">
        <v>19</v>
      </c>
      <c r="G45" s="3" t="s">
        <v>72</v>
      </c>
      <c r="H45" s="2">
        <v>4</v>
      </c>
      <c r="I45" s="2">
        <v>31</v>
      </c>
      <c r="J45" s="4">
        <v>104000</v>
      </c>
      <c r="L45">
        <v>128500</v>
      </c>
      <c r="M45">
        <v>104000</v>
      </c>
      <c r="O45">
        <v>132500</v>
      </c>
      <c r="P45">
        <v>104000</v>
      </c>
    </row>
    <row r="46" spans="2:16" ht="15.6" x14ac:dyDescent="0.3">
      <c r="B46" s="2" t="s">
        <v>111</v>
      </c>
      <c r="C46" s="3" t="s">
        <v>112</v>
      </c>
      <c r="D46" s="3" t="s">
        <v>23</v>
      </c>
      <c r="E46" s="2" t="s">
        <v>67</v>
      </c>
      <c r="F46" s="3" t="s">
        <v>10</v>
      </c>
      <c r="G46" s="3" t="s">
        <v>11</v>
      </c>
      <c r="H46" s="2">
        <v>11</v>
      </c>
      <c r="I46" s="2">
        <v>33</v>
      </c>
      <c r="J46" s="4">
        <v>217000</v>
      </c>
      <c r="L46">
        <v>71500</v>
      </c>
      <c r="M46">
        <v>217000</v>
      </c>
      <c r="O46">
        <v>77500</v>
      </c>
      <c r="P46">
        <v>141500</v>
      </c>
    </row>
    <row r="47" spans="2:16" ht="15.6" x14ac:dyDescent="0.3">
      <c r="B47" s="2" t="s">
        <v>113</v>
      </c>
      <c r="C47" s="3" t="s">
        <v>114</v>
      </c>
      <c r="D47" s="3" t="s">
        <v>38</v>
      </c>
      <c r="E47" s="2" t="s">
        <v>18</v>
      </c>
      <c r="F47" s="3" t="s">
        <v>33</v>
      </c>
      <c r="G47" s="3" t="s">
        <v>20</v>
      </c>
      <c r="H47" s="2">
        <v>8</v>
      </c>
      <c r="I47" s="2">
        <v>32</v>
      </c>
      <c r="J47" s="4">
        <v>190000</v>
      </c>
      <c r="M47">
        <v>190000</v>
      </c>
      <c r="O47">
        <v>151500</v>
      </c>
      <c r="P47">
        <v>83000</v>
      </c>
    </row>
    <row r="48" spans="2:16" ht="15.6" x14ac:dyDescent="0.3">
      <c r="B48" s="2" t="s">
        <v>115</v>
      </c>
      <c r="C48" s="3" t="s">
        <v>116</v>
      </c>
      <c r="D48" s="3" t="s">
        <v>38</v>
      </c>
      <c r="E48" s="2" t="s">
        <v>18</v>
      </c>
      <c r="F48" s="3" t="s">
        <v>10</v>
      </c>
      <c r="G48" s="3" t="s">
        <v>20</v>
      </c>
      <c r="H48" s="2">
        <v>13</v>
      </c>
      <c r="I48" s="2">
        <v>41</v>
      </c>
      <c r="J48" s="4">
        <v>185000</v>
      </c>
      <c r="M48">
        <v>185000</v>
      </c>
      <c r="O48">
        <v>91000</v>
      </c>
      <c r="P48">
        <v>206500</v>
      </c>
    </row>
    <row r="49" spans="2:16" ht="15.6" x14ac:dyDescent="0.3">
      <c r="B49" s="2" t="s">
        <v>117</v>
      </c>
      <c r="C49" s="3" t="s">
        <v>118</v>
      </c>
      <c r="D49" s="3" t="s">
        <v>38</v>
      </c>
      <c r="E49" s="2" t="s">
        <v>24</v>
      </c>
      <c r="F49" s="3" t="s">
        <v>39</v>
      </c>
      <c r="G49" s="3" t="s">
        <v>11</v>
      </c>
      <c r="H49" s="2">
        <v>3</v>
      </c>
      <c r="I49" s="2">
        <v>26</v>
      </c>
      <c r="J49" s="4">
        <v>95500</v>
      </c>
      <c r="M49">
        <v>95500</v>
      </c>
      <c r="O49">
        <v>109000</v>
      </c>
      <c r="P49">
        <v>224000</v>
      </c>
    </row>
    <row r="50" spans="2:16" ht="15.6" x14ac:dyDescent="0.3">
      <c r="B50" s="2" t="s">
        <v>119</v>
      </c>
      <c r="C50" s="3" t="s">
        <v>120</v>
      </c>
      <c r="D50" s="3" t="s">
        <v>81</v>
      </c>
      <c r="E50" s="2" t="s">
        <v>24</v>
      </c>
      <c r="F50" s="3" t="s">
        <v>10</v>
      </c>
      <c r="G50" s="3" t="s">
        <v>20</v>
      </c>
      <c r="H50" s="2">
        <v>1</v>
      </c>
      <c r="I50" s="2">
        <v>28</v>
      </c>
      <c r="J50" s="4">
        <v>67500</v>
      </c>
      <c r="M50">
        <v>67500</v>
      </c>
      <c r="O50">
        <v>113000</v>
      </c>
      <c r="P50">
        <v>73500</v>
      </c>
    </row>
    <row r="51" spans="2:16" ht="15.6" x14ac:dyDescent="0.3">
      <c r="B51" s="2" t="s">
        <v>121</v>
      </c>
      <c r="C51" s="3" t="s">
        <v>122</v>
      </c>
      <c r="D51" s="3" t="s">
        <v>32</v>
      </c>
      <c r="E51" s="2" t="s">
        <v>9</v>
      </c>
      <c r="F51" s="3" t="s">
        <v>39</v>
      </c>
      <c r="G51" s="3" t="s">
        <v>20</v>
      </c>
      <c r="H51" s="2">
        <v>5</v>
      </c>
      <c r="I51" s="2">
        <v>27</v>
      </c>
      <c r="J51" s="4">
        <v>143500</v>
      </c>
      <c r="M51">
        <v>143500</v>
      </c>
      <c r="O51">
        <v>67500</v>
      </c>
      <c r="P51">
        <v>67000</v>
      </c>
    </row>
    <row r="52" spans="2:16" ht="15.6" x14ac:dyDescent="0.3">
      <c r="B52" s="2" t="s">
        <v>123</v>
      </c>
      <c r="C52" s="3" t="s">
        <v>124</v>
      </c>
      <c r="D52" s="3" t="s">
        <v>17</v>
      </c>
      <c r="E52" s="2" t="s">
        <v>24</v>
      </c>
      <c r="F52" s="3" t="s">
        <v>39</v>
      </c>
      <c r="G52" s="3" t="s">
        <v>20</v>
      </c>
      <c r="H52" s="2">
        <v>0</v>
      </c>
      <c r="I52" s="2">
        <v>26</v>
      </c>
      <c r="J52" s="4">
        <v>64000</v>
      </c>
      <c r="M52">
        <v>64000</v>
      </c>
      <c r="O52">
        <v>260000</v>
      </c>
      <c r="P52">
        <v>89500</v>
      </c>
    </row>
    <row r="53" spans="2:16" ht="15.6" x14ac:dyDescent="0.3">
      <c r="B53" s="2" t="s">
        <v>125</v>
      </c>
      <c r="C53" s="3" t="s">
        <v>126</v>
      </c>
      <c r="D53" s="3" t="s">
        <v>47</v>
      </c>
      <c r="E53" s="2" t="s">
        <v>24</v>
      </c>
      <c r="F53" s="3" t="s">
        <v>19</v>
      </c>
      <c r="G53" s="3" t="s">
        <v>20</v>
      </c>
      <c r="H53" s="2">
        <v>1</v>
      </c>
      <c r="I53" s="2">
        <v>23</v>
      </c>
      <c r="J53" s="4">
        <v>54500</v>
      </c>
      <c r="M53">
        <v>54500</v>
      </c>
      <c r="O53">
        <v>331500</v>
      </c>
      <c r="P53">
        <v>105500</v>
      </c>
    </row>
    <row r="54" spans="2:16" ht="15.6" x14ac:dyDescent="0.3">
      <c r="B54" s="2" t="s">
        <v>127</v>
      </c>
      <c r="C54" s="3" t="s">
        <v>128</v>
      </c>
      <c r="D54" s="3" t="s">
        <v>81</v>
      </c>
      <c r="E54" s="2" t="s">
        <v>9</v>
      </c>
      <c r="F54" s="3" t="s">
        <v>39</v>
      </c>
      <c r="G54" s="3" t="s">
        <v>72</v>
      </c>
      <c r="H54" s="2">
        <v>9</v>
      </c>
      <c r="I54" s="2">
        <v>33</v>
      </c>
      <c r="J54" s="4">
        <v>173000</v>
      </c>
      <c r="M54">
        <v>173000</v>
      </c>
      <c r="O54">
        <v>143500</v>
      </c>
      <c r="P54">
        <v>65000</v>
      </c>
    </row>
    <row r="55" spans="2:16" ht="15.6" x14ac:dyDescent="0.3">
      <c r="B55" s="2" t="s">
        <v>129</v>
      </c>
      <c r="C55" s="3" t="s">
        <v>130</v>
      </c>
      <c r="D55" s="3" t="s">
        <v>81</v>
      </c>
      <c r="E55" s="2" t="s">
        <v>24</v>
      </c>
      <c r="F55" s="3" t="s">
        <v>33</v>
      </c>
      <c r="G55" s="3" t="s">
        <v>20</v>
      </c>
      <c r="H55" s="2">
        <v>0</v>
      </c>
      <c r="I55" s="2">
        <v>22</v>
      </c>
      <c r="J55" s="4">
        <v>68500</v>
      </c>
      <c r="M55">
        <v>68500</v>
      </c>
      <c r="O55">
        <v>179500</v>
      </c>
      <c r="P55">
        <v>191000</v>
      </c>
    </row>
    <row r="56" spans="2:16" ht="15.6" x14ac:dyDescent="0.3">
      <c r="B56" s="2" t="s">
        <v>131</v>
      </c>
      <c r="C56" s="3" t="s">
        <v>35</v>
      </c>
      <c r="D56" s="3" t="s">
        <v>17</v>
      </c>
      <c r="E56" s="2" t="s">
        <v>9</v>
      </c>
      <c r="F56" s="3" t="s">
        <v>33</v>
      </c>
      <c r="G56" s="3" t="s">
        <v>20</v>
      </c>
      <c r="H56" s="2">
        <v>11</v>
      </c>
      <c r="I56" s="2">
        <v>34</v>
      </c>
      <c r="J56" s="4">
        <v>130000</v>
      </c>
      <c r="M56">
        <v>130000</v>
      </c>
      <c r="O56">
        <v>176500</v>
      </c>
      <c r="P56">
        <v>64500</v>
      </c>
    </row>
    <row r="57" spans="2:16" ht="15.6" x14ac:dyDescent="0.3">
      <c r="B57" s="2" t="s">
        <v>132</v>
      </c>
      <c r="C57" s="3" t="s">
        <v>133</v>
      </c>
      <c r="D57" s="3" t="s">
        <v>38</v>
      </c>
      <c r="E57" s="2" t="s">
        <v>14</v>
      </c>
      <c r="F57" s="3" t="s">
        <v>19</v>
      </c>
      <c r="G57" s="3" t="s">
        <v>20</v>
      </c>
      <c r="H57" s="2">
        <v>5</v>
      </c>
      <c r="I57" s="2">
        <v>31</v>
      </c>
      <c r="J57" s="4">
        <v>109500</v>
      </c>
      <c r="M57">
        <v>109500</v>
      </c>
      <c r="O57">
        <v>142500</v>
      </c>
      <c r="P57">
        <v>60000</v>
      </c>
    </row>
    <row r="58" spans="2:16" ht="15.6" x14ac:dyDescent="0.3">
      <c r="B58" s="2" t="s">
        <v>134</v>
      </c>
      <c r="C58" s="3" t="s">
        <v>135</v>
      </c>
      <c r="D58" s="3" t="s">
        <v>8</v>
      </c>
      <c r="E58" s="2" t="s">
        <v>14</v>
      </c>
      <c r="F58" s="3" t="s">
        <v>19</v>
      </c>
      <c r="G58" s="3" t="s">
        <v>20</v>
      </c>
      <c r="H58" s="2">
        <v>7</v>
      </c>
      <c r="I58" s="2">
        <v>32</v>
      </c>
      <c r="J58" s="4">
        <v>109000</v>
      </c>
      <c r="M58">
        <v>109000</v>
      </c>
      <c r="O58">
        <v>186500</v>
      </c>
      <c r="P58">
        <v>63500</v>
      </c>
    </row>
    <row r="59" spans="2:16" ht="15.6" x14ac:dyDescent="0.3">
      <c r="B59" s="2" t="s">
        <v>136</v>
      </c>
      <c r="C59" s="3" t="s">
        <v>137</v>
      </c>
      <c r="D59" s="3" t="s">
        <v>32</v>
      </c>
      <c r="E59" s="2" t="s">
        <v>14</v>
      </c>
      <c r="F59" s="3" t="s">
        <v>27</v>
      </c>
      <c r="G59" s="3" t="s">
        <v>11</v>
      </c>
      <c r="H59" s="2">
        <v>4</v>
      </c>
      <c r="I59" s="2">
        <v>29</v>
      </c>
      <c r="J59" s="4">
        <v>102000</v>
      </c>
      <c r="M59">
        <v>102000</v>
      </c>
      <c r="O59">
        <v>185000</v>
      </c>
      <c r="P59">
        <v>162000</v>
      </c>
    </row>
    <row r="60" spans="2:16" ht="15.6" x14ac:dyDescent="0.3">
      <c r="B60" s="2" t="s">
        <v>138</v>
      </c>
      <c r="C60" s="3" t="s">
        <v>139</v>
      </c>
      <c r="D60" s="3" t="s">
        <v>38</v>
      </c>
      <c r="E60" s="2" t="s">
        <v>14</v>
      </c>
      <c r="F60" s="3" t="s">
        <v>39</v>
      </c>
      <c r="G60" s="3" t="s">
        <v>20</v>
      </c>
      <c r="H60" s="2">
        <v>2</v>
      </c>
      <c r="I60" s="2">
        <v>29</v>
      </c>
      <c r="J60" s="4">
        <v>98500</v>
      </c>
      <c r="M60">
        <v>98500</v>
      </c>
      <c r="O60">
        <v>127000</v>
      </c>
      <c r="P60">
        <v>155500</v>
      </c>
    </row>
    <row r="61" spans="2:16" ht="15.6" x14ac:dyDescent="0.3">
      <c r="B61" s="2" t="s">
        <v>140</v>
      </c>
      <c r="C61" s="3" t="s">
        <v>29</v>
      </c>
      <c r="D61" s="3" t="s">
        <v>81</v>
      </c>
      <c r="E61" s="2" t="s">
        <v>24</v>
      </c>
      <c r="F61" s="3" t="s">
        <v>39</v>
      </c>
      <c r="G61" s="3" t="s">
        <v>20</v>
      </c>
      <c r="H61" s="2">
        <v>2</v>
      </c>
      <c r="I61" s="2">
        <v>30</v>
      </c>
      <c r="J61" s="4">
        <v>80500</v>
      </c>
      <c r="M61">
        <v>80500</v>
      </c>
      <c r="O61">
        <v>65500</v>
      </c>
      <c r="P61">
        <v>138500</v>
      </c>
    </row>
    <row r="62" spans="2:16" ht="15.6" x14ac:dyDescent="0.3">
      <c r="B62" s="2" t="s">
        <v>141</v>
      </c>
      <c r="C62" s="3" t="s">
        <v>142</v>
      </c>
      <c r="D62" s="3" t="s">
        <v>8</v>
      </c>
      <c r="E62" s="2" t="s">
        <v>9</v>
      </c>
      <c r="F62" s="3" t="s">
        <v>19</v>
      </c>
      <c r="G62" s="3" t="s">
        <v>42</v>
      </c>
      <c r="H62" s="2">
        <v>10</v>
      </c>
      <c r="I62" s="2">
        <v>33</v>
      </c>
      <c r="J62" s="4">
        <v>146500</v>
      </c>
      <c r="M62">
        <v>146500</v>
      </c>
      <c r="O62">
        <v>111000</v>
      </c>
      <c r="P62">
        <v>103000</v>
      </c>
    </row>
    <row r="63" spans="2:16" ht="15.6" x14ac:dyDescent="0.3">
      <c r="B63" s="2" t="s">
        <v>143</v>
      </c>
      <c r="C63" s="3" t="s">
        <v>144</v>
      </c>
      <c r="D63" s="3" t="s">
        <v>81</v>
      </c>
      <c r="E63" s="2" t="s">
        <v>48</v>
      </c>
      <c r="F63" s="3" t="s">
        <v>10</v>
      </c>
      <c r="G63" s="3" t="s">
        <v>72</v>
      </c>
      <c r="H63" s="2">
        <v>23</v>
      </c>
      <c r="I63" s="2">
        <v>45</v>
      </c>
      <c r="J63" s="4">
        <v>280500</v>
      </c>
      <c r="M63">
        <v>280500</v>
      </c>
      <c r="O63">
        <v>195500</v>
      </c>
      <c r="P63">
        <v>82500</v>
      </c>
    </row>
    <row r="64" spans="2:16" ht="15.6" x14ac:dyDescent="0.3">
      <c r="B64" s="2" t="s">
        <v>145</v>
      </c>
      <c r="C64" s="3" t="s">
        <v>52</v>
      </c>
      <c r="D64" s="3" t="s">
        <v>8</v>
      </c>
      <c r="E64" s="2" t="s">
        <v>14</v>
      </c>
      <c r="F64" s="3" t="s">
        <v>39</v>
      </c>
      <c r="G64" s="3" t="s">
        <v>20</v>
      </c>
      <c r="H64" s="2">
        <v>3</v>
      </c>
      <c r="I64" s="2">
        <v>31</v>
      </c>
      <c r="J64" s="4">
        <v>98500</v>
      </c>
      <c r="M64">
        <v>98500</v>
      </c>
      <c r="P64">
        <v>103000</v>
      </c>
    </row>
    <row r="65" spans="2:16" ht="15.6" x14ac:dyDescent="0.3">
      <c r="B65" s="2" t="s">
        <v>146</v>
      </c>
      <c r="C65" s="3" t="s">
        <v>147</v>
      </c>
      <c r="D65" s="3" t="s">
        <v>8</v>
      </c>
      <c r="E65" s="2" t="s">
        <v>9</v>
      </c>
      <c r="F65" s="3" t="s">
        <v>39</v>
      </c>
      <c r="G65" s="3" t="s">
        <v>20</v>
      </c>
      <c r="H65" s="2">
        <v>11</v>
      </c>
      <c r="I65" s="2">
        <v>38</v>
      </c>
      <c r="J65" s="4">
        <v>160500</v>
      </c>
      <c r="M65">
        <v>160500</v>
      </c>
      <c r="P65">
        <v>164000</v>
      </c>
    </row>
    <row r="66" spans="2:16" ht="15.6" x14ac:dyDescent="0.3">
      <c r="B66" s="2" t="s">
        <v>148</v>
      </c>
      <c r="C66" s="3" t="s">
        <v>149</v>
      </c>
      <c r="D66" s="3" t="s">
        <v>8</v>
      </c>
      <c r="E66" s="2" t="s">
        <v>24</v>
      </c>
      <c r="F66" s="3" t="s">
        <v>33</v>
      </c>
      <c r="G66" s="3" t="s">
        <v>20</v>
      </c>
      <c r="H66" s="2">
        <v>3</v>
      </c>
      <c r="I66" s="2">
        <v>30</v>
      </c>
      <c r="J66" s="4">
        <v>78500</v>
      </c>
      <c r="M66">
        <v>78500</v>
      </c>
      <c r="P66">
        <v>62500</v>
      </c>
    </row>
    <row r="67" spans="2:16" ht="15.6" x14ac:dyDescent="0.3">
      <c r="B67" s="2" t="s">
        <v>150</v>
      </c>
      <c r="C67" s="3" t="s">
        <v>151</v>
      </c>
      <c r="D67" s="3" t="s">
        <v>81</v>
      </c>
      <c r="E67" s="2" t="s">
        <v>67</v>
      </c>
      <c r="F67" s="3" t="s">
        <v>10</v>
      </c>
      <c r="G67" s="3" t="s">
        <v>20</v>
      </c>
      <c r="H67" s="2">
        <v>16</v>
      </c>
      <c r="I67" s="2">
        <v>41</v>
      </c>
      <c r="J67" s="4">
        <v>192000</v>
      </c>
      <c r="M67">
        <v>192000</v>
      </c>
      <c r="P67">
        <v>111000</v>
      </c>
    </row>
    <row r="68" spans="2:16" ht="15.6" x14ac:dyDescent="0.3">
      <c r="B68" s="2" t="s">
        <v>152</v>
      </c>
      <c r="C68" s="3" t="s">
        <v>56</v>
      </c>
      <c r="D68" s="3" t="s">
        <v>23</v>
      </c>
      <c r="E68" s="2" t="s">
        <v>9</v>
      </c>
      <c r="F68" s="3" t="s">
        <v>27</v>
      </c>
      <c r="G68" s="3" t="s">
        <v>20</v>
      </c>
      <c r="H68" s="2">
        <v>7</v>
      </c>
      <c r="I68" s="2">
        <v>29</v>
      </c>
      <c r="J68" s="4">
        <v>164500</v>
      </c>
      <c r="M68">
        <v>164500</v>
      </c>
      <c r="P68">
        <v>199500</v>
      </c>
    </row>
    <row r="69" spans="2:16" ht="15.6" x14ac:dyDescent="0.3">
      <c r="B69" s="2" t="s">
        <v>153</v>
      </c>
      <c r="C69" s="3" t="s">
        <v>154</v>
      </c>
      <c r="D69" s="3" t="s">
        <v>38</v>
      </c>
      <c r="E69" s="2" t="s">
        <v>24</v>
      </c>
      <c r="F69" s="3" t="s">
        <v>19</v>
      </c>
      <c r="G69" s="3" t="s">
        <v>11</v>
      </c>
      <c r="H69" s="2">
        <v>2</v>
      </c>
      <c r="I69" s="2">
        <v>30</v>
      </c>
      <c r="J69" s="4">
        <v>87500</v>
      </c>
      <c r="M69">
        <v>87500</v>
      </c>
      <c r="P69">
        <v>145000</v>
      </c>
    </row>
    <row r="70" spans="2:16" ht="15.6" x14ac:dyDescent="0.3">
      <c r="B70" s="2" t="s">
        <v>155</v>
      </c>
      <c r="C70" s="3" t="s">
        <v>156</v>
      </c>
      <c r="D70" s="3" t="s">
        <v>47</v>
      </c>
      <c r="E70" s="2" t="s">
        <v>9</v>
      </c>
      <c r="F70" s="3" t="s">
        <v>10</v>
      </c>
      <c r="G70" s="3" t="s">
        <v>11</v>
      </c>
      <c r="H70" s="2">
        <v>5</v>
      </c>
      <c r="I70" s="2">
        <v>27</v>
      </c>
      <c r="J70" s="4">
        <v>105000</v>
      </c>
      <c r="M70">
        <v>105000</v>
      </c>
      <c r="P70">
        <v>59000</v>
      </c>
    </row>
    <row r="71" spans="2:16" ht="15.6" x14ac:dyDescent="0.3">
      <c r="B71" s="2" t="s">
        <v>157</v>
      </c>
      <c r="C71" s="3" t="s">
        <v>158</v>
      </c>
      <c r="D71" s="3" t="s">
        <v>47</v>
      </c>
      <c r="E71" s="2" t="s">
        <v>48</v>
      </c>
      <c r="F71" s="3" t="s">
        <v>27</v>
      </c>
      <c r="G71" s="3" t="s">
        <v>11</v>
      </c>
      <c r="H71" s="2">
        <v>28</v>
      </c>
      <c r="I71" s="2">
        <v>55</v>
      </c>
      <c r="J71" s="4">
        <v>248500</v>
      </c>
      <c r="M71">
        <v>248500</v>
      </c>
      <c r="P71">
        <v>86500</v>
      </c>
    </row>
    <row r="72" spans="2:16" ht="15.6" x14ac:dyDescent="0.3">
      <c r="B72" s="2" t="s">
        <v>159</v>
      </c>
      <c r="C72" s="3" t="s">
        <v>160</v>
      </c>
      <c r="D72" s="3" t="s">
        <v>47</v>
      </c>
      <c r="E72" s="2" t="s">
        <v>14</v>
      </c>
      <c r="F72" s="3" t="s">
        <v>33</v>
      </c>
      <c r="G72" s="3" t="s">
        <v>72</v>
      </c>
      <c r="H72" s="2">
        <v>3</v>
      </c>
      <c r="I72" s="2">
        <v>27</v>
      </c>
      <c r="J72" s="4">
        <v>103500</v>
      </c>
      <c r="M72">
        <v>103500</v>
      </c>
      <c r="P72">
        <v>88500</v>
      </c>
    </row>
    <row r="73" spans="2:16" ht="15.6" x14ac:dyDescent="0.3">
      <c r="B73" s="2" t="s">
        <v>161</v>
      </c>
      <c r="C73" s="3" t="s">
        <v>162</v>
      </c>
      <c r="D73" s="3" t="s">
        <v>32</v>
      </c>
      <c r="E73" s="2" t="s">
        <v>67</v>
      </c>
      <c r="F73" s="3" t="s">
        <v>39</v>
      </c>
      <c r="G73" s="3" t="s">
        <v>20</v>
      </c>
      <c r="H73" s="2">
        <v>20</v>
      </c>
      <c r="I73" s="2">
        <v>42</v>
      </c>
      <c r="J73" s="4">
        <v>221000</v>
      </c>
      <c r="M73">
        <v>221000</v>
      </c>
      <c r="P73">
        <v>74500</v>
      </c>
    </row>
    <row r="74" spans="2:16" ht="15.6" x14ac:dyDescent="0.3">
      <c r="B74" s="2" t="s">
        <v>163</v>
      </c>
      <c r="C74" s="3" t="s">
        <v>164</v>
      </c>
      <c r="D74" s="3" t="s">
        <v>17</v>
      </c>
      <c r="E74" s="2" t="s">
        <v>18</v>
      </c>
      <c r="F74" s="3" t="s">
        <v>10</v>
      </c>
      <c r="G74" s="3" t="s">
        <v>42</v>
      </c>
      <c r="H74" s="2">
        <v>16</v>
      </c>
      <c r="I74" s="2">
        <v>39</v>
      </c>
      <c r="J74" s="4">
        <v>160000</v>
      </c>
      <c r="M74">
        <v>160000</v>
      </c>
      <c r="P74">
        <v>94000</v>
      </c>
    </row>
    <row r="75" spans="2:16" ht="15.6" x14ac:dyDescent="0.3">
      <c r="B75" s="2" t="s">
        <v>165</v>
      </c>
      <c r="C75" s="3" t="s">
        <v>166</v>
      </c>
      <c r="D75" s="3" t="s">
        <v>23</v>
      </c>
      <c r="E75" s="2" t="s">
        <v>9</v>
      </c>
      <c r="F75" s="3" t="s">
        <v>33</v>
      </c>
      <c r="G75" s="3" t="s">
        <v>11</v>
      </c>
      <c r="H75" s="2">
        <v>9</v>
      </c>
      <c r="I75" s="2">
        <v>35</v>
      </c>
      <c r="J75" s="4">
        <v>138000</v>
      </c>
      <c r="M75">
        <v>138000</v>
      </c>
      <c r="P75">
        <v>111500</v>
      </c>
    </row>
    <row r="76" spans="2:16" ht="15.6" x14ac:dyDescent="0.3">
      <c r="B76" s="2" t="s">
        <v>167</v>
      </c>
      <c r="C76" s="3" t="s">
        <v>168</v>
      </c>
      <c r="D76" s="3" t="s">
        <v>81</v>
      </c>
      <c r="E76" s="2" t="s">
        <v>14</v>
      </c>
      <c r="F76" s="3" t="s">
        <v>33</v>
      </c>
      <c r="G76" s="3" t="s">
        <v>20</v>
      </c>
      <c r="H76" s="2">
        <v>5</v>
      </c>
      <c r="I76" s="2">
        <v>33</v>
      </c>
      <c r="J76" s="4">
        <v>104000</v>
      </c>
      <c r="M76">
        <v>104000</v>
      </c>
      <c r="P76">
        <v>100500</v>
      </c>
    </row>
    <row r="77" spans="2:16" ht="15.6" x14ac:dyDescent="0.3">
      <c r="B77" s="2" t="s">
        <v>169</v>
      </c>
      <c r="C77" s="3" t="s">
        <v>170</v>
      </c>
      <c r="D77" s="3" t="s">
        <v>47</v>
      </c>
      <c r="E77" s="2" t="s">
        <v>18</v>
      </c>
      <c r="F77" s="3" t="s">
        <v>27</v>
      </c>
      <c r="G77" s="3" t="s">
        <v>20</v>
      </c>
      <c r="H77" s="2">
        <v>12</v>
      </c>
      <c r="I77" s="2">
        <v>34</v>
      </c>
      <c r="J77" s="4">
        <v>141500</v>
      </c>
      <c r="M77">
        <v>141500</v>
      </c>
      <c r="P77">
        <v>143000</v>
      </c>
    </row>
    <row r="78" spans="2:16" ht="15.6" x14ac:dyDescent="0.3">
      <c r="B78" s="2" t="s">
        <v>171</v>
      </c>
      <c r="C78" s="3" t="s">
        <v>172</v>
      </c>
      <c r="D78" s="3" t="s">
        <v>23</v>
      </c>
      <c r="E78" s="2" t="s">
        <v>14</v>
      </c>
      <c r="F78" s="3" t="s">
        <v>27</v>
      </c>
      <c r="G78" s="3" t="s">
        <v>42</v>
      </c>
      <c r="H78" s="2">
        <v>4</v>
      </c>
      <c r="I78" s="2">
        <v>27</v>
      </c>
      <c r="J78" s="4">
        <v>103500</v>
      </c>
      <c r="M78">
        <v>103500</v>
      </c>
      <c r="P78">
        <v>140000</v>
      </c>
    </row>
    <row r="79" spans="2:16" ht="15.6" x14ac:dyDescent="0.3">
      <c r="B79" s="2" t="s">
        <v>173</v>
      </c>
      <c r="C79" s="3" t="s">
        <v>174</v>
      </c>
      <c r="D79" s="3" t="s">
        <v>47</v>
      </c>
      <c r="E79" s="2" t="s">
        <v>14</v>
      </c>
      <c r="F79" s="3" t="s">
        <v>19</v>
      </c>
      <c r="G79" s="3" t="s">
        <v>20</v>
      </c>
      <c r="H79" s="2">
        <v>7</v>
      </c>
      <c r="I79" s="2">
        <v>30</v>
      </c>
      <c r="J79" s="4">
        <v>83000</v>
      </c>
      <c r="M79">
        <v>83000</v>
      </c>
      <c r="P79">
        <v>163500</v>
      </c>
    </row>
    <row r="80" spans="2:16" ht="15.6" x14ac:dyDescent="0.3">
      <c r="B80" s="2" t="s">
        <v>175</v>
      </c>
      <c r="C80" s="3" t="s">
        <v>176</v>
      </c>
      <c r="D80" s="3" t="s">
        <v>17</v>
      </c>
      <c r="E80" s="2" t="s">
        <v>14</v>
      </c>
      <c r="F80" s="3" t="s">
        <v>19</v>
      </c>
      <c r="G80" s="3" t="s">
        <v>11</v>
      </c>
      <c r="H80" s="2">
        <v>2</v>
      </c>
      <c r="I80" s="2">
        <v>26</v>
      </c>
      <c r="J80" s="4">
        <v>98000</v>
      </c>
      <c r="M80">
        <v>98000</v>
      </c>
      <c r="P80">
        <v>258000</v>
      </c>
    </row>
    <row r="81" spans="2:16" ht="15.6" x14ac:dyDescent="0.3">
      <c r="B81" s="2" t="s">
        <v>177</v>
      </c>
      <c r="C81" s="3" t="s">
        <v>178</v>
      </c>
      <c r="D81" s="3" t="s">
        <v>81</v>
      </c>
      <c r="E81" s="2" t="s">
        <v>14</v>
      </c>
      <c r="F81" s="3" t="s">
        <v>10</v>
      </c>
      <c r="G81" s="3" t="s">
        <v>11</v>
      </c>
      <c r="H81" s="2">
        <v>5</v>
      </c>
      <c r="I81" s="2">
        <v>30</v>
      </c>
      <c r="J81" s="4">
        <v>107000</v>
      </c>
      <c r="M81">
        <v>107000</v>
      </c>
      <c r="P81">
        <v>83500</v>
      </c>
    </row>
    <row r="82" spans="2:16" ht="15.6" x14ac:dyDescent="0.3">
      <c r="B82" s="2" t="s">
        <v>179</v>
      </c>
      <c r="C82" s="3" t="s">
        <v>180</v>
      </c>
      <c r="D82" s="3" t="s">
        <v>32</v>
      </c>
      <c r="E82" s="2" t="s">
        <v>67</v>
      </c>
      <c r="F82" s="3" t="s">
        <v>39</v>
      </c>
      <c r="G82" s="3" t="s">
        <v>20</v>
      </c>
      <c r="H82" s="2">
        <v>13</v>
      </c>
      <c r="I82" s="2">
        <v>35</v>
      </c>
      <c r="J82" s="4">
        <v>206500</v>
      </c>
      <c r="M82">
        <v>206500</v>
      </c>
      <c r="P82">
        <v>111000</v>
      </c>
    </row>
    <row r="83" spans="2:16" ht="15.6" x14ac:dyDescent="0.3">
      <c r="B83" s="2" t="s">
        <v>181</v>
      </c>
      <c r="C83" s="3" t="s">
        <v>182</v>
      </c>
      <c r="D83" s="3" t="s">
        <v>47</v>
      </c>
      <c r="E83" s="2" t="s">
        <v>24</v>
      </c>
      <c r="F83" s="3" t="s">
        <v>39</v>
      </c>
      <c r="G83" s="3" t="s">
        <v>42</v>
      </c>
      <c r="H83" s="2">
        <v>0</v>
      </c>
      <c r="I83" s="2">
        <v>23</v>
      </c>
      <c r="J83" s="4">
        <v>56000</v>
      </c>
      <c r="M83">
        <v>56000</v>
      </c>
      <c r="P83">
        <v>115500</v>
      </c>
    </row>
    <row r="84" spans="2:16" ht="15.6" x14ac:dyDescent="0.3">
      <c r="B84" s="2" t="s">
        <v>183</v>
      </c>
      <c r="C84" s="3" t="s">
        <v>184</v>
      </c>
      <c r="D84" s="3" t="s">
        <v>23</v>
      </c>
      <c r="E84" s="2" t="s">
        <v>24</v>
      </c>
      <c r="F84" s="3" t="s">
        <v>33</v>
      </c>
      <c r="G84" s="3" t="s">
        <v>42</v>
      </c>
      <c r="H84" s="2">
        <v>3</v>
      </c>
      <c r="I84" s="2">
        <v>29</v>
      </c>
      <c r="J84" s="4">
        <v>81500</v>
      </c>
      <c r="M84">
        <v>81500</v>
      </c>
      <c r="P84">
        <v>243500</v>
      </c>
    </row>
    <row r="85" spans="2:16" ht="15.6" x14ac:dyDescent="0.3">
      <c r="B85" s="2" t="s">
        <v>185</v>
      </c>
      <c r="C85" s="3" t="s">
        <v>126</v>
      </c>
      <c r="D85" s="3" t="s">
        <v>23</v>
      </c>
      <c r="E85" s="2" t="s">
        <v>24</v>
      </c>
      <c r="F85" s="3" t="s">
        <v>10</v>
      </c>
      <c r="G85" s="3" t="s">
        <v>42</v>
      </c>
      <c r="H85" s="2">
        <v>0</v>
      </c>
      <c r="I85" s="2">
        <v>25</v>
      </c>
      <c r="J85" s="4">
        <v>61500</v>
      </c>
      <c r="M85">
        <v>61500</v>
      </c>
      <c r="P85">
        <v>68000</v>
      </c>
    </row>
    <row r="86" spans="2:16" ht="15.6" x14ac:dyDescent="0.3">
      <c r="B86" s="2" t="s">
        <v>186</v>
      </c>
      <c r="C86" s="3" t="s">
        <v>187</v>
      </c>
      <c r="D86" s="3" t="s">
        <v>38</v>
      </c>
      <c r="E86" s="2" t="s">
        <v>18</v>
      </c>
      <c r="F86" s="3" t="s">
        <v>27</v>
      </c>
      <c r="G86" s="3" t="s">
        <v>20</v>
      </c>
      <c r="H86" s="2">
        <v>16</v>
      </c>
      <c r="I86" s="2">
        <v>41</v>
      </c>
      <c r="J86" s="4">
        <v>224000</v>
      </c>
      <c r="M86">
        <v>224000</v>
      </c>
      <c r="P86">
        <v>86000</v>
      </c>
    </row>
    <row r="87" spans="2:16" ht="15.6" x14ac:dyDescent="0.3">
      <c r="B87" s="2" t="s">
        <v>188</v>
      </c>
      <c r="C87" s="3" t="s">
        <v>189</v>
      </c>
      <c r="D87" s="3" t="s">
        <v>8</v>
      </c>
      <c r="E87" s="2" t="s">
        <v>24</v>
      </c>
      <c r="F87" s="3" t="s">
        <v>19</v>
      </c>
      <c r="G87" s="3" t="s">
        <v>20</v>
      </c>
      <c r="H87" s="2">
        <v>2</v>
      </c>
      <c r="I87" s="2">
        <v>24</v>
      </c>
      <c r="J87" s="4">
        <v>73500</v>
      </c>
      <c r="M87">
        <v>73500</v>
      </c>
      <c r="P87">
        <v>112000</v>
      </c>
    </row>
    <row r="88" spans="2:16" ht="15.6" x14ac:dyDescent="0.3">
      <c r="B88" s="2" t="s">
        <v>190</v>
      </c>
      <c r="C88" s="3" t="s">
        <v>191</v>
      </c>
      <c r="D88" s="3" t="s">
        <v>23</v>
      </c>
      <c r="E88" s="2" t="s">
        <v>24</v>
      </c>
      <c r="F88" s="3" t="s">
        <v>19</v>
      </c>
      <c r="G88" s="3" t="s">
        <v>20</v>
      </c>
      <c r="H88" s="2">
        <v>0</v>
      </c>
      <c r="I88" s="2">
        <v>25</v>
      </c>
      <c r="J88" s="4">
        <v>67000</v>
      </c>
      <c r="M88">
        <v>67000</v>
      </c>
      <c r="P88">
        <v>153000</v>
      </c>
    </row>
    <row r="89" spans="2:16" ht="15.6" x14ac:dyDescent="0.3">
      <c r="B89" s="2" t="s">
        <v>192</v>
      </c>
      <c r="C89" s="3" t="s">
        <v>193</v>
      </c>
      <c r="D89" s="3" t="s">
        <v>23</v>
      </c>
      <c r="E89" s="2" t="s">
        <v>9</v>
      </c>
      <c r="F89" s="3" t="s">
        <v>19</v>
      </c>
      <c r="G89" s="3" t="s">
        <v>11</v>
      </c>
      <c r="H89" s="2">
        <v>7</v>
      </c>
      <c r="I89" s="2">
        <v>30</v>
      </c>
      <c r="J89" s="4">
        <v>148000</v>
      </c>
      <c r="M89">
        <v>148000</v>
      </c>
      <c r="P89">
        <v>66500</v>
      </c>
    </row>
    <row r="90" spans="2:16" ht="15.6" x14ac:dyDescent="0.3">
      <c r="B90" s="2" t="s">
        <v>194</v>
      </c>
      <c r="C90" s="3" t="s">
        <v>137</v>
      </c>
      <c r="D90" s="3" t="s">
        <v>32</v>
      </c>
      <c r="E90" s="2" t="s">
        <v>14</v>
      </c>
      <c r="F90" s="3" t="s">
        <v>27</v>
      </c>
      <c r="G90" s="3" t="s">
        <v>11</v>
      </c>
      <c r="H90" s="2">
        <v>2</v>
      </c>
      <c r="I90" s="2">
        <v>28</v>
      </c>
      <c r="J90" s="4">
        <v>98500</v>
      </c>
      <c r="M90">
        <v>98500</v>
      </c>
      <c r="P90">
        <v>102000</v>
      </c>
    </row>
    <row r="91" spans="2:16" ht="15.6" x14ac:dyDescent="0.3">
      <c r="B91" s="2" t="s">
        <v>195</v>
      </c>
      <c r="C91" s="3" t="s">
        <v>196</v>
      </c>
      <c r="D91" s="3" t="s">
        <v>8</v>
      </c>
      <c r="E91" s="2" t="s">
        <v>24</v>
      </c>
      <c r="F91" s="3" t="s">
        <v>39</v>
      </c>
      <c r="G91" s="3" t="s">
        <v>20</v>
      </c>
      <c r="H91" s="2">
        <v>2</v>
      </c>
      <c r="I91" s="2">
        <v>29</v>
      </c>
      <c r="J91" s="4">
        <v>89500</v>
      </c>
      <c r="M91">
        <v>89500</v>
      </c>
      <c r="P91">
        <v>147000</v>
      </c>
    </row>
    <row r="92" spans="2:16" ht="15.6" x14ac:dyDescent="0.3">
      <c r="B92" s="2" t="s">
        <v>197</v>
      </c>
      <c r="C92" s="3" t="s">
        <v>198</v>
      </c>
      <c r="D92" s="3" t="s">
        <v>23</v>
      </c>
      <c r="E92" s="2" t="s">
        <v>9</v>
      </c>
      <c r="F92" s="3" t="s">
        <v>39</v>
      </c>
      <c r="G92" s="3" t="s">
        <v>11</v>
      </c>
      <c r="H92" s="2">
        <v>5</v>
      </c>
      <c r="I92" s="2">
        <v>28</v>
      </c>
      <c r="J92" s="4">
        <v>154000</v>
      </c>
      <c r="M92">
        <v>154000</v>
      </c>
      <c r="P92">
        <v>105500</v>
      </c>
    </row>
    <row r="93" spans="2:16" ht="15.6" x14ac:dyDescent="0.3">
      <c r="B93" s="2" t="s">
        <v>199</v>
      </c>
      <c r="C93" s="3" t="s">
        <v>200</v>
      </c>
      <c r="D93" s="3" t="s">
        <v>81</v>
      </c>
      <c r="E93" s="2" t="s">
        <v>48</v>
      </c>
      <c r="F93" s="3" t="s">
        <v>39</v>
      </c>
      <c r="G93" s="3" t="s">
        <v>11</v>
      </c>
      <c r="H93" s="2">
        <v>15</v>
      </c>
      <c r="I93" s="2">
        <v>43</v>
      </c>
      <c r="J93" s="4">
        <v>288000</v>
      </c>
      <c r="M93">
        <v>288000</v>
      </c>
      <c r="P93">
        <v>78500</v>
      </c>
    </row>
    <row r="94" spans="2:16" ht="15.6" x14ac:dyDescent="0.3">
      <c r="B94" s="2" t="s">
        <v>201</v>
      </c>
      <c r="C94" s="3" t="s">
        <v>202</v>
      </c>
      <c r="D94" s="3" t="s">
        <v>38</v>
      </c>
      <c r="E94" s="2" t="s">
        <v>9</v>
      </c>
      <c r="F94" s="3" t="s">
        <v>19</v>
      </c>
      <c r="G94" s="3" t="s">
        <v>11</v>
      </c>
      <c r="H94" s="2">
        <v>6</v>
      </c>
      <c r="I94" s="2">
        <v>28</v>
      </c>
      <c r="J94" s="4">
        <v>157500</v>
      </c>
      <c r="M94">
        <v>157500</v>
      </c>
      <c r="P94">
        <v>75500</v>
      </c>
    </row>
    <row r="95" spans="2:16" ht="15.6" x14ac:dyDescent="0.3">
      <c r="B95" s="2" t="s">
        <v>203</v>
      </c>
      <c r="C95" s="3" t="s">
        <v>204</v>
      </c>
      <c r="D95" s="3" t="s">
        <v>81</v>
      </c>
      <c r="E95" s="2" t="s">
        <v>9</v>
      </c>
      <c r="F95" s="3" t="s">
        <v>33</v>
      </c>
      <c r="G95" s="3" t="s">
        <v>11</v>
      </c>
      <c r="H95" s="2">
        <v>9</v>
      </c>
      <c r="I95" s="2">
        <v>36</v>
      </c>
      <c r="J95" s="4">
        <v>145000</v>
      </c>
      <c r="M95">
        <v>145000</v>
      </c>
      <c r="P95">
        <v>122500</v>
      </c>
    </row>
    <row r="96" spans="2:16" ht="15.6" x14ac:dyDescent="0.3">
      <c r="B96" s="2" t="s">
        <v>205</v>
      </c>
      <c r="C96" s="3" t="s">
        <v>206</v>
      </c>
      <c r="D96" s="3" t="s">
        <v>23</v>
      </c>
      <c r="E96" s="2" t="s">
        <v>14</v>
      </c>
      <c r="F96" s="3" t="s">
        <v>10</v>
      </c>
      <c r="G96" s="3" t="s">
        <v>20</v>
      </c>
      <c r="H96" s="2">
        <v>4</v>
      </c>
      <c r="I96" s="2">
        <v>28</v>
      </c>
      <c r="J96" s="4">
        <v>105500</v>
      </c>
      <c r="M96">
        <v>105500</v>
      </c>
      <c r="P96">
        <v>95000</v>
      </c>
    </row>
    <row r="97" spans="2:16" ht="15.6" x14ac:dyDescent="0.3">
      <c r="B97" s="2" t="s">
        <v>207</v>
      </c>
      <c r="C97" s="3" t="s">
        <v>208</v>
      </c>
      <c r="D97" s="3" t="s">
        <v>47</v>
      </c>
      <c r="E97" s="2" t="s">
        <v>24</v>
      </c>
      <c r="F97" s="3" t="s">
        <v>39</v>
      </c>
      <c r="G97" s="3" t="s">
        <v>20</v>
      </c>
      <c r="H97" s="2">
        <v>3</v>
      </c>
      <c r="I97" s="2">
        <v>31</v>
      </c>
      <c r="J97" s="4">
        <v>65000</v>
      </c>
      <c r="M97">
        <v>65000</v>
      </c>
      <c r="P97">
        <v>69000</v>
      </c>
    </row>
    <row r="98" spans="2:16" ht="15.6" x14ac:dyDescent="0.3">
      <c r="B98" s="2" t="s">
        <v>209</v>
      </c>
      <c r="C98" s="3" t="s">
        <v>210</v>
      </c>
      <c r="D98" s="3" t="s">
        <v>8</v>
      </c>
      <c r="E98" s="2" t="s">
        <v>18</v>
      </c>
      <c r="F98" s="3" t="s">
        <v>33</v>
      </c>
      <c r="G98" s="3" t="s">
        <v>11</v>
      </c>
      <c r="H98" s="2">
        <v>13</v>
      </c>
      <c r="I98" s="2">
        <v>40</v>
      </c>
      <c r="J98" s="4">
        <v>213000</v>
      </c>
      <c r="M98">
        <v>213000</v>
      </c>
      <c r="P98">
        <v>156500</v>
      </c>
    </row>
    <row r="99" spans="2:16" ht="15.6" x14ac:dyDescent="0.3">
      <c r="B99" s="2" t="s">
        <v>211</v>
      </c>
      <c r="C99" s="3" t="s">
        <v>212</v>
      </c>
      <c r="D99" s="3" t="s">
        <v>32</v>
      </c>
      <c r="E99" s="2" t="s">
        <v>18</v>
      </c>
      <c r="F99" s="3" t="s">
        <v>39</v>
      </c>
      <c r="G99" s="3" t="s">
        <v>20</v>
      </c>
      <c r="H99" s="2">
        <v>11</v>
      </c>
      <c r="I99" s="2">
        <v>38</v>
      </c>
      <c r="J99" s="4">
        <v>191000</v>
      </c>
      <c r="M99">
        <v>191000</v>
      </c>
      <c r="P99">
        <v>201500</v>
      </c>
    </row>
    <row r="100" spans="2:16" ht="15.6" x14ac:dyDescent="0.3">
      <c r="B100" s="2" t="s">
        <v>213</v>
      </c>
      <c r="C100" s="3" t="s">
        <v>214</v>
      </c>
      <c r="D100" s="3" t="s">
        <v>8</v>
      </c>
      <c r="E100" s="2" t="s">
        <v>67</v>
      </c>
      <c r="F100" s="3" t="s">
        <v>27</v>
      </c>
      <c r="G100" s="3" t="s">
        <v>11</v>
      </c>
      <c r="H100" s="2">
        <v>16</v>
      </c>
      <c r="I100" s="2">
        <v>42</v>
      </c>
      <c r="J100" s="4">
        <v>246500</v>
      </c>
      <c r="M100">
        <v>246500</v>
      </c>
      <c r="P100">
        <v>71500</v>
      </c>
    </row>
    <row r="101" spans="2:16" ht="15.6" x14ac:dyDescent="0.3">
      <c r="B101" s="2" t="s">
        <v>215</v>
      </c>
      <c r="C101" s="3" t="s">
        <v>216</v>
      </c>
      <c r="D101" s="3" t="s">
        <v>8</v>
      </c>
      <c r="E101" s="2" t="s">
        <v>24</v>
      </c>
      <c r="F101" s="3" t="s">
        <v>33</v>
      </c>
      <c r="G101" s="3" t="s">
        <v>20</v>
      </c>
      <c r="H101" s="2">
        <v>1</v>
      </c>
      <c r="I101" s="2">
        <v>24</v>
      </c>
      <c r="J101" s="4">
        <v>64500</v>
      </c>
      <c r="M101">
        <v>64500</v>
      </c>
      <c r="P101">
        <v>124500</v>
      </c>
    </row>
    <row r="102" spans="2:16" ht="15.6" x14ac:dyDescent="0.3">
      <c r="B102" s="2" t="s">
        <v>217</v>
      </c>
      <c r="C102" s="3" t="s">
        <v>218</v>
      </c>
      <c r="D102" s="3" t="s">
        <v>17</v>
      </c>
      <c r="E102" s="2" t="s">
        <v>24</v>
      </c>
      <c r="F102" s="3" t="s">
        <v>10</v>
      </c>
      <c r="G102" s="3" t="s">
        <v>20</v>
      </c>
      <c r="H102" s="2">
        <v>1</v>
      </c>
      <c r="I102" s="2">
        <v>24</v>
      </c>
      <c r="J102" s="4">
        <v>60000</v>
      </c>
      <c r="M102">
        <v>60000</v>
      </c>
      <c r="P102">
        <v>111000</v>
      </c>
    </row>
    <row r="103" spans="2:16" ht="15.6" x14ac:dyDescent="0.3">
      <c r="B103" s="2" t="s">
        <v>219</v>
      </c>
      <c r="C103" s="3" t="s">
        <v>220</v>
      </c>
      <c r="D103" s="3" t="s">
        <v>8</v>
      </c>
      <c r="E103" s="2" t="s">
        <v>24</v>
      </c>
      <c r="F103" s="3" t="s">
        <v>10</v>
      </c>
      <c r="G103" s="3" t="s">
        <v>11</v>
      </c>
      <c r="H103" s="2">
        <v>2</v>
      </c>
      <c r="I103" s="2">
        <v>27</v>
      </c>
      <c r="J103" s="4">
        <v>74000</v>
      </c>
      <c r="M103">
        <v>74000</v>
      </c>
      <c r="P103">
        <v>90000</v>
      </c>
    </row>
    <row r="104" spans="2:16" ht="15.6" x14ac:dyDescent="0.3">
      <c r="B104" s="2" t="s">
        <v>221</v>
      </c>
      <c r="C104" s="3" t="s">
        <v>222</v>
      </c>
      <c r="D104" s="3" t="s">
        <v>47</v>
      </c>
      <c r="E104" s="2" t="s">
        <v>18</v>
      </c>
      <c r="F104" s="3" t="s">
        <v>10</v>
      </c>
      <c r="G104" s="3" t="s">
        <v>72</v>
      </c>
      <c r="H104" s="2">
        <v>11</v>
      </c>
      <c r="I104" s="2">
        <v>39</v>
      </c>
      <c r="J104" s="4">
        <v>153000</v>
      </c>
      <c r="M104">
        <v>153000</v>
      </c>
      <c r="P104">
        <v>212500</v>
      </c>
    </row>
    <row r="105" spans="2:16" ht="15.6" x14ac:dyDescent="0.3">
      <c r="B105" s="2" t="s">
        <v>223</v>
      </c>
      <c r="C105" s="3" t="s">
        <v>224</v>
      </c>
      <c r="D105" s="3" t="s">
        <v>32</v>
      </c>
      <c r="E105" s="2" t="s">
        <v>24</v>
      </c>
      <c r="F105" s="3" t="s">
        <v>19</v>
      </c>
      <c r="G105" s="3" t="s">
        <v>20</v>
      </c>
      <c r="H105" s="2">
        <v>2</v>
      </c>
      <c r="I105" s="2">
        <v>25</v>
      </c>
      <c r="J105" s="4">
        <v>63500</v>
      </c>
      <c r="M105">
        <v>63500</v>
      </c>
      <c r="P105">
        <v>166500</v>
      </c>
    </row>
    <row r="106" spans="2:16" ht="15.6" x14ac:dyDescent="0.3">
      <c r="B106" s="2" t="s">
        <v>225</v>
      </c>
      <c r="C106" s="3" t="s">
        <v>226</v>
      </c>
      <c r="D106" s="3" t="s">
        <v>38</v>
      </c>
      <c r="E106" s="2" t="s">
        <v>9</v>
      </c>
      <c r="F106" s="3" t="s">
        <v>27</v>
      </c>
      <c r="G106" s="3" t="s">
        <v>20</v>
      </c>
      <c r="H106" s="2">
        <v>5</v>
      </c>
      <c r="I106" s="2">
        <v>32</v>
      </c>
      <c r="J106" s="4">
        <v>162000</v>
      </c>
      <c r="M106">
        <v>162000</v>
      </c>
      <c r="P106">
        <v>71500</v>
      </c>
    </row>
    <row r="107" spans="2:16" ht="15.6" x14ac:dyDescent="0.3">
      <c r="B107" s="2" t="s">
        <v>227</v>
      </c>
      <c r="C107" s="3" t="s">
        <v>208</v>
      </c>
      <c r="D107" s="3" t="s">
        <v>23</v>
      </c>
      <c r="E107" s="2" t="s">
        <v>67</v>
      </c>
      <c r="F107" s="3" t="s">
        <v>27</v>
      </c>
      <c r="G107" s="3" t="s">
        <v>11</v>
      </c>
      <c r="H107" s="2">
        <v>16</v>
      </c>
      <c r="I107" s="2">
        <v>39</v>
      </c>
      <c r="J107" s="4">
        <v>259500</v>
      </c>
      <c r="M107">
        <v>259500</v>
      </c>
      <c r="P107">
        <v>143000</v>
      </c>
    </row>
    <row r="108" spans="2:16" ht="15.6" x14ac:dyDescent="0.3">
      <c r="B108" s="2" t="s">
        <v>228</v>
      </c>
      <c r="C108" s="3" t="s">
        <v>122</v>
      </c>
      <c r="D108" s="3" t="s">
        <v>47</v>
      </c>
      <c r="E108" s="2" t="s">
        <v>18</v>
      </c>
      <c r="F108" s="3" t="s">
        <v>27</v>
      </c>
      <c r="G108" s="3" t="s">
        <v>20</v>
      </c>
      <c r="H108" s="2">
        <v>14</v>
      </c>
      <c r="I108" s="2">
        <v>37</v>
      </c>
      <c r="J108" s="4">
        <v>155500</v>
      </c>
      <c r="M108">
        <v>155500</v>
      </c>
      <c r="P108">
        <v>254000</v>
      </c>
    </row>
    <row r="109" spans="2:16" ht="15.6" x14ac:dyDescent="0.3">
      <c r="B109" s="2" t="s">
        <v>229</v>
      </c>
      <c r="C109" s="3" t="s">
        <v>230</v>
      </c>
      <c r="D109" s="3" t="s">
        <v>81</v>
      </c>
      <c r="E109" s="2" t="s">
        <v>9</v>
      </c>
      <c r="F109" s="3" t="s">
        <v>33</v>
      </c>
      <c r="G109" s="3" t="s">
        <v>20</v>
      </c>
      <c r="H109" s="2">
        <v>8</v>
      </c>
      <c r="I109" s="2">
        <v>33</v>
      </c>
      <c r="J109" s="4">
        <v>138500</v>
      </c>
      <c r="M109">
        <v>138500</v>
      </c>
    </row>
    <row r="110" spans="2:16" ht="15.6" x14ac:dyDescent="0.3">
      <c r="B110" s="2" t="s">
        <v>231</v>
      </c>
      <c r="C110" s="3" t="s">
        <v>232</v>
      </c>
      <c r="D110" s="3" t="s">
        <v>47</v>
      </c>
      <c r="E110" s="2" t="s">
        <v>14</v>
      </c>
      <c r="F110" s="3" t="s">
        <v>39</v>
      </c>
      <c r="G110" s="3" t="s">
        <v>20</v>
      </c>
      <c r="H110" s="2">
        <v>7</v>
      </c>
      <c r="I110" s="2">
        <v>30</v>
      </c>
      <c r="J110" s="4">
        <v>103000</v>
      </c>
      <c r="M110">
        <v>103000</v>
      </c>
    </row>
    <row r="111" spans="2:16" ht="15.6" x14ac:dyDescent="0.3">
      <c r="B111" s="2" t="s">
        <v>233</v>
      </c>
      <c r="C111" s="3" t="s">
        <v>212</v>
      </c>
      <c r="D111" s="3" t="s">
        <v>81</v>
      </c>
      <c r="E111" s="2" t="s">
        <v>14</v>
      </c>
      <c r="F111" s="3" t="s">
        <v>33</v>
      </c>
      <c r="G111" s="3" t="s">
        <v>20</v>
      </c>
      <c r="H111" s="2">
        <v>5</v>
      </c>
      <c r="I111" s="2">
        <v>30</v>
      </c>
      <c r="J111" s="4">
        <v>82500</v>
      </c>
      <c r="M111">
        <v>82500</v>
      </c>
    </row>
    <row r="112" spans="2:16" ht="15.6" x14ac:dyDescent="0.3">
      <c r="B112" s="2" t="s">
        <v>234</v>
      </c>
      <c r="C112" s="3" t="s">
        <v>235</v>
      </c>
      <c r="D112" s="3" t="s">
        <v>23</v>
      </c>
      <c r="E112" s="2" t="s">
        <v>14</v>
      </c>
      <c r="F112" s="3" t="s">
        <v>10</v>
      </c>
      <c r="G112" s="3" t="s">
        <v>20</v>
      </c>
      <c r="H112" s="2">
        <v>5</v>
      </c>
      <c r="I112" s="2">
        <v>27</v>
      </c>
      <c r="J112" s="4">
        <v>103000</v>
      </c>
      <c r="M112">
        <v>103000</v>
      </c>
    </row>
    <row r="113" spans="2:13" ht="15.6" x14ac:dyDescent="0.3">
      <c r="B113" s="2" t="s">
        <v>236</v>
      </c>
      <c r="C113" s="3" t="s">
        <v>13</v>
      </c>
      <c r="D113" s="3" t="s">
        <v>23</v>
      </c>
      <c r="E113" s="2" t="s">
        <v>18</v>
      </c>
      <c r="F113" s="3" t="s">
        <v>10</v>
      </c>
      <c r="G113" s="3" t="s">
        <v>20</v>
      </c>
      <c r="H113" s="2">
        <v>10</v>
      </c>
      <c r="I113" s="2">
        <v>36</v>
      </c>
      <c r="J113" s="4">
        <v>164000</v>
      </c>
      <c r="M113">
        <v>164000</v>
      </c>
    </row>
    <row r="114" spans="2:13" ht="15.6" x14ac:dyDescent="0.3">
      <c r="B114" s="2" t="s">
        <v>237</v>
      </c>
      <c r="C114" s="3" t="s">
        <v>238</v>
      </c>
      <c r="D114" s="3" t="s">
        <v>23</v>
      </c>
      <c r="E114" s="2" t="s">
        <v>14</v>
      </c>
      <c r="F114" s="3" t="s">
        <v>39</v>
      </c>
      <c r="G114" s="3" t="s">
        <v>11</v>
      </c>
      <c r="H114" s="2">
        <v>4</v>
      </c>
      <c r="I114" s="2">
        <v>28</v>
      </c>
      <c r="J114" s="4">
        <v>120000</v>
      </c>
      <c r="M114">
        <v>120000</v>
      </c>
    </row>
    <row r="115" spans="2:13" ht="15.6" x14ac:dyDescent="0.3">
      <c r="B115" s="2" t="s">
        <v>239</v>
      </c>
      <c r="C115" s="3" t="s">
        <v>240</v>
      </c>
      <c r="D115" s="3" t="s">
        <v>81</v>
      </c>
      <c r="E115" s="2" t="s">
        <v>9</v>
      </c>
      <c r="F115" s="3" t="s">
        <v>33</v>
      </c>
      <c r="G115" s="3" t="s">
        <v>72</v>
      </c>
      <c r="H115" s="2">
        <v>9</v>
      </c>
      <c r="I115" s="2">
        <v>33</v>
      </c>
      <c r="J115" s="4">
        <v>155500</v>
      </c>
      <c r="M115">
        <v>155500</v>
      </c>
    </row>
    <row r="116" spans="2:13" ht="15.6" x14ac:dyDescent="0.3">
      <c r="B116" s="2" t="s">
        <v>241</v>
      </c>
      <c r="C116" s="3" t="s">
        <v>242</v>
      </c>
      <c r="D116" s="3" t="s">
        <v>47</v>
      </c>
      <c r="E116" s="2" t="s">
        <v>14</v>
      </c>
      <c r="F116" s="3" t="s">
        <v>19</v>
      </c>
      <c r="G116" s="3" t="s">
        <v>72</v>
      </c>
      <c r="H116" s="2">
        <v>4</v>
      </c>
      <c r="I116" s="2">
        <v>29</v>
      </c>
      <c r="J116" s="4">
        <v>101000</v>
      </c>
      <c r="M116">
        <v>101000</v>
      </c>
    </row>
    <row r="117" spans="2:13" ht="15.6" x14ac:dyDescent="0.3">
      <c r="B117" s="2" t="s">
        <v>243</v>
      </c>
      <c r="C117" s="3" t="s">
        <v>244</v>
      </c>
      <c r="D117" s="3" t="s">
        <v>8</v>
      </c>
      <c r="E117" s="2" t="s">
        <v>9</v>
      </c>
      <c r="F117" s="3" t="s">
        <v>19</v>
      </c>
      <c r="G117" s="3" t="s">
        <v>11</v>
      </c>
      <c r="H117" s="2">
        <v>9</v>
      </c>
      <c r="I117" s="2">
        <v>34</v>
      </c>
      <c r="J117" s="4">
        <v>158000</v>
      </c>
      <c r="M117">
        <v>158000</v>
      </c>
    </row>
    <row r="118" spans="2:13" ht="15.6" x14ac:dyDescent="0.3">
      <c r="B118" s="2" t="s">
        <v>245</v>
      </c>
      <c r="C118" s="3" t="s">
        <v>172</v>
      </c>
      <c r="D118" s="3" t="s">
        <v>8</v>
      </c>
      <c r="E118" s="2" t="s">
        <v>14</v>
      </c>
      <c r="F118" s="3" t="s">
        <v>39</v>
      </c>
      <c r="G118" s="3" t="s">
        <v>42</v>
      </c>
      <c r="H118" s="2">
        <v>3</v>
      </c>
      <c r="I118" s="2">
        <v>29</v>
      </c>
      <c r="J118" s="4">
        <v>111000</v>
      </c>
      <c r="M118">
        <v>111000</v>
      </c>
    </row>
    <row r="119" spans="2:13" ht="15.6" x14ac:dyDescent="0.3">
      <c r="B119" s="2" t="s">
        <v>246</v>
      </c>
      <c r="C119" s="3" t="s">
        <v>247</v>
      </c>
      <c r="D119" s="3" t="s">
        <v>32</v>
      </c>
      <c r="E119" s="2" t="s">
        <v>24</v>
      </c>
      <c r="F119" s="3" t="s">
        <v>10</v>
      </c>
      <c r="G119" s="3" t="s">
        <v>20</v>
      </c>
      <c r="H119" s="2">
        <v>3</v>
      </c>
      <c r="I119" s="2">
        <v>29</v>
      </c>
      <c r="J119" s="4">
        <v>62500</v>
      </c>
      <c r="M119">
        <v>62500</v>
      </c>
    </row>
    <row r="120" spans="2:13" ht="15.6" x14ac:dyDescent="0.3">
      <c r="B120" s="2" t="s">
        <v>248</v>
      </c>
      <c r="C120" s="3" t="s">
        <v>249</v>
      </c>
      <c r="D120" s="3" t="s">
        <v>47</v>
      </c>
      <c r="E120" s="2" t="s">
        <v>9</v>
      </c>
      <c r="F120" s="3" t="s">
        <v>27</v>
      </c>
      <c r="G120" s="3" t="s">
        <v>20</v>
      </c>
      <c r="H120" s="2">
        <v>9</v>
      </c>
      <c r="I120" s="2">
        <v>35</v>
      </c>
      <c r="J120" s="4">
        <v>111000</v>
      </c>
      <c r="M120">
        <v>111000</v>
      </c>
    </row>
    <row r="121" spans="2:13" ht="15.6" x14ac:dyDescent="0.3">
      <c r="B121" s="2" t="s">
        <v>250</v>
      </c>
      <c r="C121" s="3" t="s">
        <v>251</v>
      </c>
      <c r="D121" s="3" t="s">
        <v>47</v>
      </c>
      <c r="E121" s="2" t="s">
        <v>14</v>
      </c>
      <c r="F121" s="3" t="s">
        <v>33</v>
      </c>
      <c r="G121" s="3" t="s">
        <v>11</v>
      </c>
      <c r="H121" s="2">
        <v>5</v>
      </c>
      <c r="I121" s="2">
        <v>27</v>
      </c>
      <c r="J121" s="4">
        <v>93000</v>
      </c>
      <c r="M121">
        <v>93000</v>
      </c>
    </row>
    <row r="122" spans="2:13" ht="15.6" x14ac:dyDescent="0.3">
      <c r="B122" s="2" t="s">
        <v>252</v>
      </c>
      <c r="C122" s="3" t="s">
        <v>253</v>
      </c>
      <c r="D122" s="3" t="s">
        <v>32</v>
      </c>
      <c r="E122" s="2" t="s">
        <v>67</v>
      </c>
      <c r="F122" s="3" t="s">
        <v>27</v>
      </c>
      <c r="G122" s="3" t="s">
        <v>20</v>
      </c>
      <c r="H122" s="2">
        <v>17</v>
      </c>
      <c r="I122" s="2">
        <v>42</v>
      </c>
      <c r="J122" s="4">
        <v>199500</v>
      </c>
      <c r="M122">
        <v>199500</v>
      </c>
    </row>
    <row r="123" spans="2:13" ht="15.6" x14ac:dyDescent="0.3">
      <c r="B123" s="2" t="s">
        <v>254</v>
      </c>
      <c r="C123" s="3" t="s">
        <v>255</v>
      </c>
      <c r="D123" s="3" t="s">
        <v>32</v>
      </c>
      <c r="E123" s="2" t="s">
        <v>67</v>
      </c>
      <c r="F123" s="3" t="s">
        <v>10</v>
      </c>
      <c r="G123" s="3" t="s">
        <v>11</v>
      </c>
      <c r="H123" s="2">
        <v>20</v>
      </c>
      <c r="I123" s="2">
        <v>47</v>
      </c>
      <c r="J123" s="4">
        <v>236500</v>
      </c>
      <c r="M123">
        <v>236500</v>
      </c>
    </row>
    <row r="124" spans="2:13" ht="15.6" x14ac:dyDescent="0.3">
      <c r="B124" s="2" t="s">
        <v>256</v>
      </c>
      <c r="C124" s="3" t="s">
        <v>257</v>
      </c>
      <c r="D124" s="3" t="s">
        <v>38</v>
      </c>
      <c r="E124" s="2" t="s">
        <v>9</v>
      </c>
      <c r="F124" s="3" t="s">
        <v>27</v>
      </c>
      <c r="G124" s="3" t="s">
        <v>20</v>
      </c>
      <c r="H124" s="2">
        <v>7</v>
      </c>
      <c r="I124" s="2">
        <v>31</v>
      </c>
      <c r="J124" s="4">
        <v>145000</v>
      </c>
      <c r="M124">
        <v>145000</v>
      </c>
    </row>
    <row r="125" spans="2:13" ht="15.6" x14ac:dyDescent="0.3">
      <c r="B125" s="2" t="s">
        <v>258</v>
      </c>
      <c r="C125" s="3" t="s">
        <v>259</v>
      </c>
      <c r="D125" s="3" t="s">
        <v>38</v>
      </c>
      <c r="E125" s="2" t="s">
        <v>24</v>
      </c>
      <c r="F125" s="3" t="s">
        <v>10</v>
      </c>
      <c r="G125" s="3" t="s">
        <v>11</v>
      </c>
      <c r="H125" s="2">
        <v>0</v>
      </c>
      <c r="I125" s="2">
        <v>22</v>
      </c>
      <c r="J125" s="4">
        <v>69000</v>
      </c>
      <c r="M125">
        <v>69000</v>
      </c>
    </row>
    <row r="126" spans="2:13" ht="15.6" x14ac:dyDescent="0.3">
      <c r="B126" s="2" t="s">
        <v>260</v>
      </c>
      <c r="C126" s="3" t="s">
        <v>261</v>
      </c>
      <c r="D126" s="3" t="s">
        <v>23</v>
      </c>
      <c r="E126" s="2" t="s">
        <v>24</v>
      </c>
      <c r="F126" s="3" t="s">
        <v>33</v>
      </c>
      <c r="G126" s="3" t="s">
        <v>11</v>
      </c>
      <c r="H126" s="2">
        <v>3</v>
      </c>
      <c r="I126" s="2">
        <v>31</v>
      </c>
      <c r="J126" s="4">
        <v>91000</v>
      </c>
      <c r="M126">
        <v>91000</v>
      </c>
    </row>
    <row r="127" spans="2:13" ht="15.6" x14ac:dyDescent="0.3">
      <c r="B127" s="2" t="s">
        <v>262</v>
      </c>
      <c r="C127" s="3" t="s">
        <v>263</v>
      </c>
      <c r="D127" s="3" t="s">
        <v>47</v>
      </c>
      <c r="E127" s="2" t="s">
        <v>24</v>
      </c>
      <c r="F127" s="3" t="s">
        <v>19</v>
      </c>
      <c r="G127" s="3" t="s">
        <v>20</v>
      </c>
      <c r="H127" s="2">
        <v>2</v>
      </c>
      <c r="I127" s="2">
        <v>29</v>
      </c>
      <c r="J127" s="4">
        <v>59000</v>
      </c>
      <c r="M127">
        <v>59000</v>
      </c>
    </row>
    <row r="128" spans="2:13" ht="15.6" x14ac:dyDescent="0.3">
      <c r="B128" s="2" t="s">
        <v>264</v>
      </c>
      <c r="C128" s="3" t="s">
        <v>265</v>
      </c>
      <c r="D128" s="3" t="s">
        <v>17</v>
      </c>
      <c r="E128" s="2" t="s">
        <v>9</v>
      </c>
      <c r="F128" s="3" t="s">
        <v>10</v>
      </c>
      <c r="G128" s="3" t="s">
        <v>72</v>
      </c>
      <c r="H128" s="2">
        <v>5</v>
      </c>
      <c r="I128" s="2">
        <v>30</v>
      </c>
      <c r="J128" s="4">
        <v>131000</v>
      </c>
      <c r="M128">
        <v>131000</v>
      </c>
    </row>
    <row r="129" spans="2:13" ht="15.6" x14ac:dyDescent="0.3">
      <c r="B129" s="2" t="s">
        <v>266</v>
      </c>
      <c r="C129" s="3" t="s">
        <v>180</v>
      </c>
      <c r="D129" s="3" t="s">
        <v>8</v>
      </c>
      <c r="E129" s="2" t="s">
        <v>14</v>
      </c>
      <c r="F129" s="3" t="s">
        <v>39</v>
      </c>
      <c r="G129" s="3" t="s">
        <v>11</v>
      </c>
      <c r="H129" s="2">
        <v>6</v>
      </c>
      <c r="I129" s="2">
        <v>30</v>
      </c>
      <c r="J129" s="4">
        <v>112500</v>
      </c>
      <c r="M129">
        <v>112500</v>
      </c>
    </row>
    <row r="130" spans="2:13" ht="15.6" x14ac:dyDescent="0.3">
      <c r="B130" s="2" t="s">
        <v>267</v>
      </c>
      <c r="C130" s="3" t="s">
        <v>268</v>
      </c>
      <c r="D130" s="3" t="s">
        <v>17</v>
      </c>
      <c r="E130" s="2" t="s">
        <v>14</v>
      </c>
      <c r="F130" s="3" t="s">
        <v>10</v>
      </c>
      <c r="G130" s="3" t="s">
        <v>20</v>
      </c>
      <c r="H130" s="2">
        <v>3</v>
      </c>
      <c r="I130" s="2">
        <v>31</v>
      </c>
      <c r="J130" s="4">
        <v>86500</v>
      </c>
      <c r="M130">
        <v>86500</v>
      </c>
    </row>
    <row r="131" spans="2:13" ht="15.6" x14ac:dyDescent="0.3">
      <c r="B131" s="2" t="s">
        <v>269</v>
      </c>
      <c r="C131" s="3" t="s">
        <v>270</v>
      </c>
      <c r="D131" s="3" t="s">
        <v>23</v>
      </c>
      <c r="E131" s="2" t="s">
        <v>14</v>
      </c>
      <c r="F131" s="3" t="s">
        <v>39</v>
      </c>
      <c r="G131" s="3" t="s">
        <v>42</v>
      </c>
      <c r="H131" s="2">
        <v>2</v>
      </c>
      <c r="I131" s="2">
        <v>27</v>
      </c>
      <c r="J131" s="4">
        <v>112500</v>
      </c>
      <c r="M131">
        <v>112500</v>
      </c>
    </row>
    <row r="132" spans="2:13" ht="15.6" x14ac:dyDescent="0.3">
      <c r="B132" s="2" t="s">
        <v>271</v>
      </c>
      <c r="C132" s="3" t="s">
        <v>272</v>
      </c>
      <c r="D132" s="3" t="s">
        <v>23</v>
      </c>
      <c r="E132" s="2" t="s">
        <v>24</v>
      </c>
      <c r="F132" s="3" t="s">
        <v>10</v>
      </c>
      <c r="G132" s="3" t="s">
        <v>11</v>
      </c>
      <c r="H132" s="2">
        <v>2</v>
      </c>
      <c r="I132" s="2">
        <v>27</v>
      </c>
      <c r="J132" s="4">
        <v>88000</v>
      </c>
      <c r="M132">
        <v>88000</v>
      </c>
    </row>
    <row r="133" spans="2:13" ht="15.6" x14ac:dyDescent="0.3">
      <c r="B133" s="2" t="s">
        <v>273</v>
      </c>
      <c r="C133" s="3" t="s">
        <v>162</v>
      </c>
      <c r="D133" s="3" t="s">
        <v>17</v>
      </c>
      <c r="E133" s="2" t="s">
        <v>24</v>
      </c>
      <c r="F133" s="3" t="s">
        <v>33</v>
      </c>
      <c r="G133" s="3" t="s">
        <v>11</v>
      </c>
      <c r="H133" s="2">
        <v>2</v>
      </c>
      <c r="I133" s="2">
        <v>27</v>
      </c>
      <c r="J133" s="4">
        <v>64500</v>
      </c>
      <c r="M133">
        <v>64500</v>
      </c>
    </row>
    <row r="134" spans="2:13" ht="15.6" x14ac:dyDescent="0.3">
      <c r="B134" s="2" t="s">
        <v>274</v>
      </c>
      <c r="C134" s="3" t="s">
        <v>37</v>
      </c>
      <c r="D134" s="3" t="s">
        <v>23</v>
      </c>
      <c r="E134" s="2" t="s">
        <v>24</v>
      </c>
      <c r="F134" s="3" t="s">
        <v>39</v>
      </c>
      <c r="G134" s="3" t="s">
        <v>20</v>
      </c>
      <c r="H134" s="2">
        <v>0</v>
      </c>
      <c r="I134" s="2">
        <v>27</v>
      </c>
      <c r="J134" s="4">
        <v>88500</v>
      </c>
      <c r="M134">
        <v>88500</v>
      </c>
    </row>
    <row r="135" spans="2:13" ht="15.6" x14ac:dyDescent="0.3">
      <c r="B135" s="2" t="s">
        <v>275</v>
      </c>
      <c r="C135" s="3" t="s">
        <v>276</v>
      </c>
      <c r="D135" s="3" t="s">
        <v>8</v>
      </c>
      <c r="E135" s="2" t="s">
        <v>14</v>
      </c>
      <c r="F135" s="3" t="s">
        <v>10</v>
      </c>
      <c r="G135" s="3" t="s">
        <v>72</v>
      </c>
      <c r="H135" s="2">
        <v>7</v>
      </c>
      <c r="I135" s="2">
        <v>35</v>
      </c>
      <c r="J135" s="4">
        <v>104000</v>
      </c>
      <c r="M135">
        <v>104000</v>
      </c>
    </row>
    <row r="136" spans="2:13" ht="15.6" x14ac:dyDescent="0.3">
      <c r="B136" s="2" t="s">
        <v>277</v>
      </c>
      <c r="C136" s="3" t="s">
        <v>278</v>
      </c>
      <c r="D136" s="3" t="s">
        <v>81</v>
      </c>
      <c r="E136" s="2" t="s">
        <v>9</v>
      </c>
      <c r="F136" s="3" t="s">
        <v>19</v>
      </c>
      <c r="G136" s="3" t="s">
        <v>11</v>
      </c>
      <c r="H136" s="2">
        <v>7</v>
      </c>
      <c r="I136" s="2">
        <v>33</v>
      </c>
      <c r="J136" s="4">
        <v>132500</v>
      </c>
      <c r="M136">
        <v>132500</v>
      </c>
    </row>
    <row r="137" spans="2:13" ht="15.6" x14ac:dyDescent="0.3">
      <c r="B137" s="2" t="s">
        <v>279</v>
      </c>
      <c r="C137" s="3" t="s">
        <v>280</v>
      </c>
      <c r="D137" s="3" t="s">
        <v>8</v>
      </c>
      <c r="E137" s="2" t="s">
        <v>24</v>
      </c>
      <c r="F137" s="3" t="s">
        <v>19</v>
      </c>
      <c r="G137" s="3" t="s">
        <v>11</v>
      </c>
      <c r="H137" s="2">
        <v>1</v>
      </c>
      <c r="I137" s="2">
        <v>26</v>
      </c>
      <c r="J137" s="4">
        <v>77500</v>
      </c>
      <c r="M137">
        <v>77500</v>
      </c>
    </row>
    <row r="138" spans="2:13" ht="15.6" x14ac:dyDescent="0.3">
      <c r="B138" s="2" t="s">
        <v>281</v>
      </c>
      <c r="C138" s="3" t="s">
        <v>282</v>
      </c>
      <c r="D138" s="3" t="s">
        <v>17</v>
      </c>
      <c r="E138" s="2" t="s">
        <v>14</v>
      </c>
      <c r="F138" s="3" t="s">
        <v>39</v>
      </c>
      <c r="G138" s="3" t="s">
        <v>42</v>
      </c>
      <c r="H138" s="2">
        <v>2</v>
      </c>
      <c r="I138" s="2">
        <v>25</v>
      </c>
      <c r="J138" s="4">
        <v>97000</v>
      </c>
      <c r="M138">
        <v>97000</v>
      </c>
    </row>
    <row r="139" spans="2:13" ht="15.6" x14ac:dyDescent="0.3">
      <c r="B139" s="2" t="s">
        <v>283</v>
      </c>
      <c r="C139" s="3" t="s">
        <v>284</v>
      </c>
      <c r="D139" s="3" t="s">
        <v>8</v>
      </c>
      <c r="E139" s="2" t="s">
        <v>14</v>
      </c>
      <c r="F139" s="3" t="s">
        <v>10</v>
      </c>
      <c r="G139" s="3" t="s">
        <v>42</v>
      </c>
      <c r="H139" s="2">
        <v>4</v>
      </c>
      <c r="I139" s="2">
        <v>27</v>
      </c>
      <c r="J139" s="4">
        <v>86000</v>
      </c>
      <c r="M139">
        <v>86000</v>
      </c>
    </row>
    <row r="140" spans="2:13" ht="15.6" x14ac:dyDescent="0.3">
      <c r="B140" s="2" t="s">
        <v>285</v>
      </c>
      <c r="C140" s="3" t="s">
        <v>286</v>
      </c>
      <c r="D140" s="3" t="s">
        <v>23</v>
      </c>
      <c r="E140" s="2" t="s">
        <v>24</v>
      </c>
      <c r="F140" s="3" t="s">
        <v>33</v>
      </c>
      <c r="G140" s="3" t="s">
        <v>20</v>
      </c>
      <c r="H140" s="2">
        <v>0</v>
      </c>
      <c r="I140" s="2">
        <v>22</v>
      </c>
      <c r="J140" s="4">
        <v>74500</v>
      </c>
      <c r="M140">
        <v>74500</v>
      </c>
    </row>
    <row r="141" spans="2:13" ht="15.6" x14ac:dyDescent="0.3">
      <c r="B141" s="2" t="s">
        <v>287</v>
      </c>
      <c r="C141" s="3" t="s">
        <v>288</v>
      </c>
      <c r="D141" s="3" t="s">
        <v>38</v>
      </c>
      <c r="E141" s="2" t="s">
        <v>14</v>
      </c>
      <c r="F141" s="3" t="s">
        <v>19</v>
      </c>
      <c r="G141" s="3" t="s">
        <v>20</v>
      </c>
      <c r="H141" s="2">
        <v>6</v>
      </c>
      <c r="I141" s="2">
        <v>34</v>
      </c>
      <c r="J141" s="4">
        <v>94000</v>
      </c>
      <c r="M141">
        <v>94000</v>
      </c>
    </row>
    <row r="142" spans="2:13" ht="15.6" x14ac:dyDescent="0.3">
      <c r="B142" s="2" t="s">
        <v>289</v>
      </c>
      <c r="C142" s="3" t="s">
        <v>184</v>
      </c>
      <c r="D142" s="3" t="s">
        <v>23</v>
      </c>
      <c r="E142" s="2" t="s">
        <v>9</v>
      </c>
      <c r="F142" s="3" t="s">
        <v>10</v>
      </c>
      <c r="G142" s="3" t="s">
        <v>11</v>
      </c>
      <c r="H142" s="2">
        <v>5</v>
      </c>
      <c r="I142" s="2">
        <v>32</v>
      </c>
      <c r="J142" s="4">
        <v>151500</v>
      </c>
      <c r="M142">
        <v>151500</v>
      </c>
    </row>
    <row r="143" spans="2:13" ht="15.6" x14ac:dyDescent="0.3">
      <c r="B143" s="2" t="s">
        <v>290</v>
      </c>
      <c r="C143" s="3" t="s">
        <v>291</v>
      </c>
      <c r="D143" s="3" t="s">
        <v>47</v>
      </c>
      <c r="E143" s="2" t="s">
        <v>14</v>
      </c>
      <c r="F143" s="3" t="s">
        <v>19</v>
      </c>
      <c r="G143" s="3" t="s">
        <v>11</v>
      </c>
      <c r="H143" s="2">
        <v>7</v>
      </c>
      <c r="I143" s="2">
        <v>30</v>
      </c>
      <c r="J143" s="4">
        <v>91000</v>
      </c>
      <c r="M143">
        <v>91000</v>
      </c>
    </row>
    <row r="144" spans="2:13" ht="15.6" x14ac:dyDescent="0.3">
      <c r="B144" s="2" t="s">
        <v>292</v>
      </c>
      <c r="C144" s="3" t="s">
        <v>293</v>
      </c>
      <c r="D144" s="3" t="s">
        <v>8</v>
      </c>
      <c r="E144" s="2" t="s">
        <v>14</v>
      </c>
      <c r="F144" s="3" t="s">
        <v>19</v>
      </c>
      <c r="G144" s="3" t="s">
        <v>20</v>
      </c>
      <c r="H144" s="2">
        <v>5</v>
      </c>
      <c r="I144" s="2">
        <v>29</v>
      </c>
      <c r="J144" s="4">
        <v>111500</v>
      </c>
      <c r="M144">
        <v>111500</v>
      </c>
    </row>
    <row r="145" spans="2:13" ht="15.6" x14ac:dyDescent="0.3">
      <c r="B145" s="2" t="s">
        <v>294</v>
      </c>
      <c r="C145" s="3" t="s">
        <v>295</v>
      </c>
      <c r="D145" s="3" t="s">
        <v>8</v>
      </c>
      <c r="E145" s="2" t="s">
        <v>14</v>
      </c>
      <c r="F145" s="3" t="s">
        <v>33</v>
      </c>
      <c r="G145" s="3" t="s">
        <v>11</v>
      </c>
      <c r="H145" s="2">
        <v>4</v>
      </c>
      <c r="I145" s="2">
        <v>32</v>
      </c>
      <c r="J145" s="4">
        <v>109000</v>
      </c>
      <c r="M145">
        <v>109000</v>
      </c>
    </row>
    <row r="146" spans="2:13" ht="15.6" x14ac:dyDescent="0.3">
      <c r="B146" s="2" t="s">
        <v>296</v>
      </c>
      <c r="C146" s="3" t="s">
        <v>268</v>
      </c>
      <c r="D146" s="3" t="s">
        <v>8</v>
      </c>
      <c r="E146" s="2" t="s">
        <v>14</v>
      </c>
      <c r="F146" s="3" t="s">
        <v>19</v>
      </c>
      <c r="G146" s="3" t="s">
        <v>20</v>
      </c>
      <c r="H146" s="2">
        <v>4</v>
      </c>
      <c r="I146" s="2">
        <v>28</v>
      </c>
      <c r="J146" s="4">
        <v>100500</v>
      </c>
      <c r="M146">
        <v>100500</v>
      </c>
    </row>
    <row r="147" spans="2:13" ht="15.6" x14ac:dyDescent="0.3">
      <c r="B147" s="2" t="s">
        <v>297</v>
      </c>
      <c r="C147" s="3" t="s">
        <v>298</v>
      </c>
      <c r="D147" s="3" t="s">
        <v>8</v>
      </c>
      <c r="E147" s="2" t="s">
        <v>9</v>
      </c>
      <c r="F147" s="3" t="s">
        <v>27</v>
      </c>
      <c r="G147" s="3" t="s">
        <v>20</v>
      </c>
      <c r="H147" s="2">
        <v>11</v>
      </c>
      <c r="I147" s="2">
        <v>38</v>
      </c>
      <c r="J147" s="4">
        <v>143000</v>
      </c>
      <c r="M147">
        <v>143000</v>
      </c>
    </row>
    <row r="148" spans="2:13" ht="15.6" x14ac:dyDescent="0.3">
      <c r="B148" s="2" t="s">
        <v>299</v>
      </c>
      <c r="C148" s="3" t="s">
        <v>156</v>
      </c>
      <c r="D148" s="3" t="s">
        <v>23</v>
      </c>
      <c r="E148" s="2" t="s">
        <v>9</v>
      </c>
      <c r="F148" s="3" t="s">
        <v>10</v>
      </c>
      <c r="G148" s="3" t="s">
        <v>20</v>
      </c>
      <c r="H148" s="2">
        <v>5</v>
      </c>
      <c r="I148" s="2">
        <v>33</v>
      </c>
      <c r="J148" s="4">
        <v>140000</v>
      </c>
      <c r="M148">
        <v>140000</v>
      </c>
    </row>
    <row r="149" spans="2:13" ht="15.6" x14ac:dyDescent="0.3">
      <c r="B149" s="2" t="s">
        <v>300</v>
      </c>
      <c r="C149" s="3" t="s">
        <v>301</v>
      </c>
      <c r="D149" s="3" t="s">
        <v>23</v>
      </c>
      <c r="E149" s="2" t="s">
        <v>14</v>
      </c>
      <c r="F149" s="3" t="s">
        <v>19</v>
      </c>
      <c r="G149" s="3" t="s">
        <v>11</v>
      </c>
      <c r="H149" s="2">
        <v>3</v>
      </c>
      <c r="I149" s="2">
        <v>28</v>
      </c>
      <c r="J149" s="4">
        <v>113000</v>
      </c>
      <c r="M149">
        <v>113000</v>
      </c>
    </row>
    <row r="150" spans="2:13" ht="15.6" x14ac:dyDescent="0.3">
      <c r="B150" s="2" t="s">
        <v>302</v>
      </c>
      <c r="C150" s="3" t="s">
        <v>90</v>
      </c>
      <c r="D150" s="3" t="s">
        <v>8</v>
      </c>
      <c r="E150" s="2" t="s">
        <v>18</v>
      </c>
      <c r="F150" s="3" t="s">
        <v>19</v>
      </c>
      <c r="G150" s="3" t="s">
        <v>20</v>
      </c>
      <c r="H150" s="2">
        <v>14</v>
      </c>
      <c r="I150" s="2">
        <v>37</v>
      </c>
      <c r="J150" s="4">
        <v>163500</v>
      </c>
      <c r="M150">
        <v>163500</v>
      </c>
    </row>
    <row r="151" spans="2:13" ht="15.6" x14ac:dyDescent="0.3">
      <c r="B151" s="2" t="s">
        <v>303</v>
      </c>
      <c r="C151" s="3" t="s">
        <v>214</v>
      </c>
      <c r="D151" s="3" t="s">
        <v>32</v>
      </c>
      <c r="E151" s="2" t="s">
        <v>48</v>
      </c>
      <c r="F151" s="3" t="s">
        <v>39</v>
      </c>
      <c r="G151" s="3" t="s">
        <v>20</v>
      </c>
      <c r="H151" s="2">
        <v>28</v>
      </c>
      <c r="I151" s="2">
        <v>56</v>
      </c>
      <c r="J151" s="4">
        <v>258000</v>
      </c>
      <c r="M151">
        <v>258000</v>
      </c>
    </row>
    <row r="152" spans="2:13" ht="15.6" x14ac:dyDescent="0.3">
      <c r="B152" s="2" t="s">
        <v>304</v>
      </c>
      <c r="C152" s="3" t="s">
        <v>305</v>
      </c>
      <c r="D152" s="3" t="s">
        <v>47</v>
      </c>
      <c r="E152" s="2" t="s">
        <v>14</v>
      </c>
      <c r="F152" s="3" t="s">
        <v>19</v>
      </c>
      <c r="G152" s="3" t="s">
        <v>20</v>
      </c>
      <c r="H152" s="2">
        <v>7</v>
      </c>
      <c r="I152" s="2">
        <v>31</v>
      </c>
      <c r="J152" s="4">
        <v>83500</v>
      </c>
      <c r="M152">
        <v>83500</v>
      </c>
    </row>
    <row r="153" spans="2:13" ht="15.6" x14ac:dyDescent="0.3">
      <c r="B153" s="2" t="s">
        <v>306</v>
      </c>
      <c r="C153" s="3" t="s">
        <v>307</v>
      </c>
      <c r="D153" s="3" t="s">
        <v>38</v>
      </c>
      <c r="E153" s="2" t="s">
        <v>14</v>
      </c>
      <c r="F153" s="3" t="s">
        <v>10</v>
      </c>
      <c r="G153" s="3" t="s">
        <v>42</v>
      </c>
      <c r="H153" s="2">
        <v>7</v>
      </c>
      <c r="I153" s="2">
        <v>32</v>
      </c>
      <c r="J153" s="4">
        <v>110000</v>
      </c>
      <c r="M153">
        <v>110000</v>
      </c>
    </row>
    <row r="154" spans="2:13" ht="15.6" x14ac:dyDescent="0.3">
      <c r="B154" s="2" t="s">
        <v>308</v>
      </c>
      <c r="C154" s="3" t="s">
        <v>309</v>
      </c>
      <c r="D154" s="3" t="s">
        <v>81</v>
      </c>
      <c r="E154" s="2" t="s">
        <v>14</v>
      </c>
      <c r="F154" s="3" t="s">
        <v>39</v>
      </c>
      <c r="G154" s="3" t="s">
        <v>20</v>
      </c>
      <c r="H154" s="2">
        <v>7</v>
      </c>
      <c r="I154" s="2">
        <v>32</v>
      </c>
      <c r="J154" s="4">
        <v>111000</v>
      </c>
      <c r="M154">
        <v>111000</v>
      </c>
    </row>
    <row r="155" spans="2:13" ht="15.6" x14ac:dyDescent="0.3">
      <c r="B155" s="2" t="s">
        <v>310</v>
      </c>
      <c r="C155" s="3" t="s">
        <v>311</v>
      </c>
      <c r="D155" s="3" t="s">
        <v>47</v>
      </c>
      <c r="E155" s="2" t="s">
        <v>24</v>
      </c>
      <c r="F155" s="3" t="s">
        <v>33</v>
      </c>
      <c r="G155" s="3" t="s">
        <v>11</v>
      </c>
      <c r="H155" s="2">
        <v>1</v>
      </c>
      <c r="I155" s="2">
        <v>29</v>
      </c>
      <c r="J155" s="4">
        <v>67500</v>
      </c>
      <c r="M155">
        <v>67500</v>
      </c>
    </row>
    <row r="156" spans="2:13" ht="15.6" x14ac:dyDescent="0.3">
      <c r="B156" s="2" t="s">
        <v>312</v>
      </c>
      <c r="C156" s="3" t="s">
        <v>313</v>
      </c>
      <c r="D156" s="3" t="s">
        <v>8</v>
      </c>
      <c r="E156" s="2" t="s">
        <v>14</v>
      </c>
      <c r="F156" s="3" t="s">
        <v>39</v>
      </c>
      <c r="G156" s="3" t="s">
        <v>20</v>
      </c>
      <c r="H156" s="2">
        <v>4</v>
      </c>
      <c r="I156" s="2">
        <v>32</v>
      </c>
      <c r="J156" s="4">
        <v>115500</v>
      </c>
      <c r="M156">
        <v>115500</v>
      </c>
    </row>
    <row r="157" spans="2:13" ht="15.6" x14ac:dyDescent="0.3">
      <c r="B157" s="2" t="s">
        <v>314</v>
      </c>
      <c r="C157" s="3" t="s">
        <v>315</v>
      </c>
      <c r="D157" s="3" t="s">
        <v>23</v>
      </c>
      <c r="E157" s="2" t="s">
        <v>67</v>
      </c>
      <c r="F157" s="3" t="s">
        <v>10</v>
      </c>
      <c r="G157" s="3" t="s">
        <v>11</v>
      </c>
      <c r="H157" s="2">
        <v>20</v>
      </c>
      <c r="I157" s="2">
        <v>42</v>
      </c>
      <c r="J157" s="4">
        <v>260000</v>
      </c>
      <c r="M157">
        <v>260000</v>
      </c>
    </row>
    <row r="158" spans="2:13" ht="15.6" x14ac:dyDescent="0.3">
      <c r="B158" s="2" t="s">
        <v>316</v>
      </c>
      <c r="C158" s="3" t="s">
        <v>75</v>
      </c>
      <c r="D158" s="3" t="s">
        <v>81</v>
      </c>
      <c r="E158" s="2" t="s">
        <v>67</v>
      </c>
      <c r="F158" s="3" t="s">
        <v>33</v>
      </c>
      <c r="G158" s="3" t="s">
        <v>20</v>
      </c>
      <c r="H158" s="2">
        <v>20</v>
      </c>
      <c r="I158" s="2">
        <v>42</v>
      </c>
      <c r="J158" s="4">
        <v>243500</v>
      </c>
      <c r="M158">
        <v>243500</v>
      </c>
    </row>
    <row r="159" spans="2:13" ht="15.6" x14ac:dyDescent="0.3">
      <c r="B159" s="2" t="s">
        <v>317</v>
      </c>
      <c r="C159" s="3" t="s">
        <v>318</v>
      </c>
      <c r="D159" s="3" t="s">
        <v>23</v>
      </c>
      <c r="E159" s="2" t="s">
        <v>48</v>
      </c>
      <c r="F159" s="3" t="s">
        <v>10</v>
      </c>
      <c r="G159" s="3" t="s">
        <v>11</v>
      </c>
      <c r="H159" s="2">
        <v>22</v>
      </c>
      <c r="I159" s="2">
        <v>49</v>
      </c>
      <c r="J159" s="4">
        <v>331500</v>
      </c>
      <c r="M159">
        <v>331500</v>
      </c>
    </row>
    <row r="160" spans="2:13" ht="15.6" x14ac:dyDescent="0.3">
      <c r="B160" s="2" t="s">
        <v>319</v>
      </c>
      <c r="C160" s="3" t="s">
        <v>320</v>
      </c>
      <c r="D160" s="3" t="s">
        <v>81</v>
      </c>
      <c r="E160" s="2" t="s">
        <v>18</v>
      </c>
      <c r="F160" s="3" t="s">
        <v>19</v>
      </c>
      <c r="G160" s="3" t="s">
        <v>11</v>
      </c>
      <c r="H160" s="2">
        <v>9</v>
      </c>
      <c r="I160" s="2">
        <v>37</v>
      </c>
      <c r="J160" s="4">
        <v>143500</v>
      </c>
      <c r="M160">
        <v>143500</v>
      </c>
    </row>
    <row r="161" spans="2:13" ht="15.6" x14ac:dyDescent="0.3">
      <c r="B161" s="2" t="s">
        <v>321</v>
      </c>
      <c r="C161" s="3" t="s">
        <v>322</v>
      </c>
      <c r="D161" s="3" t="s">
        <v>8</v>
      </c>
      <c r="E161" s="2" t="s">
        <v>14</v>
      </c>
      <c r="F161" s="3" t="s">
        <v>39</v>
      </c>
      <c r="G161" s="3" t="s">
        <v>42</v>
      </c>
      <c r="H161" s="2">
        <v>5</v>
      </c>
      <c r="I161" s="2">
        <v>32</v>
      </c>
      <c r="J161" s="4">
        <v>105500</v>
      </c>
      <c r="M161">
        <v>105500</v>
      </c>
    </row>
    <row r="162" spans="2:13" ht="15.6" x14ac:dyDescent="0.3">
      <c r="B162" s="2" t="s">
        <v>323</v>
      </c>
      <c r="C162" s="3" t="s">
        <v>84</v>
      </c>
      <c r="D162" s="3" t="s">
        <v>23</v>
      </c>
      <c r="E162" s="2" t="s">
        <v>24</v>
      </c>
      <c r="F162" s="3" t="s">
        <v>10</v>
      </c>
      <c r="G162" s="3" t="s">
        <v>20</v>
      </c>
      <c r="H162" s="2">
        <v>1</v>
      </c>
      <c r="I162" s="2">
        <v>26</v>
      </c>
      <c r="J162" s="4">
        <v>68000</v>
      </c>
      <c r="M162">
        <v>68000</v>
      </c>
    </row>
    <row r="163" spans="2:13" ht="15.6" x14ac:dyDescent="0.3">
      <c r="B163" s="2" t="s">
        <v>324</v>
      </c>
      <c r="C163" s="3" t="s">
        <v>325</v>
      </c>
      <c r="D163" s="3" t="s">
        <v>23</v>
      </c>
      <c r="E163" s="2" t="s">
        <v>24</v>
      </c>
      <c r="F163" s="3" t="s">
        <v>39</v>
      </c>
      <c r="G163" s="3" t="s">
        <v>20</v>
      </c>
      <c r="H163" s="2">
        <v>1</v>
      </c>
      <c r="I163" s="2">
        <v>29</v>
      </c>
      <c r="J163" s="4">
        <v>86000</v>
      </c>
      <c r="M163">
        <v>86000</v>
      </c>
    </row>
    <row r="164" spans="2:13" ht="15.6" x14ac:dyDescent="0.3">
      <c r="B164" s="2" t="s">
        <v>326</v>
      </c>
      <c r="C164" s="3" t="s">
        <v>320</v>
      </c>
      <c r="D164" s="3" t="s">
        <v>47</v>
      </c>
      <c r="E164" s="2" t="s">
        <v>9</v>
      </c>
      <c r="F164" s="3" t="s">
        <v>10</v>
      </c>
      <c r="G164" s="3" t="s">
        <v>20</v>
      </c>
      <c r="H164" s="2">
        <v>5</v>
      </c>
      <c r="I164" s="2">
        <v>27</v>
      </c>
      <c r="J164" s="4">
        <v>112000</v>
      </c>
      <c r="M164">
        <v>112000</v>
      </c>
    </row>
    <row r="165" spans="2:13" ht="15.6" x14ac:dyDescent="0.3">
      <c r="B165" s="2" t="s">
        <v>327</v>
      </c>
      <c r="C165" s="3" t="s">
        <v>328</v>
      </c>
      <c r="D165" s="3" t="s">
        <v>81</v>
      </c>
      <c r="E165" s="2" t="s">
        <v>9</v>
      </c>
      <c r="F165" s="3" t="s">
        <v>39</v>
      </c>
      <c r="G165" s="3" t="s">
        <v>20</v>
      </c>
      <c r="H165" s="2">
        <v>6</v>
      </c>
      <c r="I165" s="2">
        <v>32</v>
      </c>
      <c r="J165" s="4">
        <v>153000</v>
      </c>
      <c r="M165">
        <v>153000</v>
      </c>
    </row>
    <row r="166" spans="2:13" ht="15.6" x14ac:dyDescent="0.3">
      <c r="B166" s="2" t="s">
        <v>329</v>
      </c>
      <c r="C166" s="3" t="s">
        <v>291</v>
      </c>
      <c r="D166" s="3" t="s">
        <v>47</v>
      </c>
      <c r="E166" s="2" t="s">
        <v>24</v>
      </c>
      <c r="F166" s="3" t="s">
        <v>39</v>
      </c>
      <c r="G166" s="3" t="s">
        <v>20</v>
      </c>
      <c r="H166" s="2">
        <v>2</v>
      </c>
      <c r="I166" s="2">
        <v>27</v>
      </c>
      <c r="J166" s="4">
        <v>66500</v>
      </c>
      <c r="M166">
        <v>66500</v>
      </c>
    </row>
    <row r="167" spans="2:13" ht="15.6" x14ac:dyDescent="0.3">
      <c r="B167" s="2" t="s">
        <v>330</v>
      </c>
      <c r="C167" s="3" t="s">
        <v>331</v>
      </c>
      <c r="D167" s="3" t="s">
        <v>8</v>
      </c>
      <c r="E167" s="2" t="s">
        <v>14</v>
      </c>
      <c r="F167" s="3" t="s">
        <v>33</v>
      </c>
      <c r="G167" s="3" t="s">
        <v>42</v>
      </c>
      <c r="H167" s="2">
        <v>6</v>
      </c>
      <c r="I167" s="2">
        <v>32</v>
      </c>
      <c r="J167" s="4">
        <v>101500</v>
      </c>
      <c r="M167">
        <v>101500</v>
      </c>
    </row>
    <row r="168" spans="2:13" ht="15.6" x14ac:dyDescent="0.3">
      <c r="B168" s="2" t="s">
        <v>332</v>
      </c>
      <c r="C168" s="3" t="s">
        <v>333</v>
      </c>
      <c r="D168" s="3" t="s">
        <v>47</v>
      </c>
      <c r="E168" s="2" t="s">
        <v>14</v>
      </c>
      <c r="F168" s="3" t="s">
        <v>33</v>
      </c>
      <c r="G168" s="3" t="s">
        <v>42</v>
      </c>
      <c r="H168" s="2">
        <v>6</v>
      </c>
      <c r="I168" s="2">
        <v>33</v>
      </c>
      <c r="J168" s="4">
        <v>85000</v>
      </c>
      <c r="M168">
        <v>85000</v>
      </c>
    </row>
    <row r="169" spans="2:13" ht="15.6" x14ac:dyDescent="0.3">
      <c r="B169" s="2" t="s">
        <v>334</v>
      </c>
      <c r="C169" s="3" t="s">
        <v>335</v>
      </c>
      <c r="D169" s="3" t="s">
        <v>17</v>
      </c>
      <c r="E169" s="2" t="s">
        <v>18</v>
      </c>
      <c r="F169" s="3" t="s">
        <v>27</v>
      </c>
      <c r="G169" s="3" t="s">
        <v>11</v>
      </c>
      <c r="H169" s="2">
        <v>15</v>
      </c>
      <c r="I169" s="2">
        <v>41</v>
      </c>
      <c r="J169" s="4">
        <v>179500</v>
      </c>
      <c r="M169">
        <v>179500</v>
      </c>
    </row>
    <row r="170" spans="2:13" ht="15.6" x14ac:dyDescent="0.3">
      <c r="B170" s="2" t="s">
        <v>336</v>
      </c>
      <c r="C170" s="3" t="s">
        <v>337</v>
      </c>
      <c r="D170" s="3" t="s">
        <v>17</v>
      </c>
      <c r="E170" s="2" t="s">
        <v>14</v>
      </c>
      <c r="F170" s="3" t="s">
        <v>33</v>
      </c>
      <c r="G170" s="3" t="s">
        <v>20</v>
      </c>
      <c r="H170" s="2">
        <v>5</v>
      </c>
      <c r="I170" s="2">
        <v>32</v>
      </c>
      <c r="J170" s="4">
        <v>102000</v>
      </c>
      <c r="M170">
        <v>102000</v>
      </c>
    </row>
    <row r="171" spans="2:13" ht="15.6" x14ac:dyDescent="0.3">
      <c r="B171" s="2" t="s">
        <v>338</v>
      </c>
      <c r="C171" s="3" t="s">
        <v>339</v>
      </c>
      <c r="D171" s="3" t="s">
        <v>38</v>
      </c>
      <c r="E171" s="2" t="s">
        <v>67</v>
      </c>
      <c r="F171" s="3" t="s">
        <v>39</v>
      </c>
      <c r="G171" s="3" t="s">
        <v>72</v>
      </c>
      <c r="H171" s="2">
        <v>18</v>
      </c>
      <c r="I171" s="2">
        <v>41</v>
      </c>
      <c r="J171" s="4">
        <v>269500</v>
      </c>
      <c r="M171">
        <v>269500</v>
      </c>
    </row>
    <row r="172" spans="2:13" ht="15.6" x14ac:dyDescent="0.3">
      <c r="B172" s="2" t="s">
        <v>340</v>
      </c>
      <c r="C172" s="3" t="s">
        <v>341</v>
      </c>
      <c r="D172" s="3" t="s">
        <v>17</v>
      </c>
      <c r="E172" s="2" t="s">
        <v>9</v>
      </c>
      <c r="F172" s="3" t="s">
        <v>39</v>
      </c>
      <c r="G172" s="3" t="s">
        <v>20</v>
      </c>
      <c r="H172" s="2">
        <v>11</v>
      </c>
      <c r="I172" s="2">
        <v>36</v>
      </c>
      <c r="J172" s="4">
        <v>147000</v>
      </c>
      <c r="M172">
        <v>147000</v>
      </c>
    </row>
    <row r="173" spans="2:13" ht="15.6" x14ac:dyDescent="0.3">
      <c r="B173" s="2" t="s">
        <v>342</v>
      </c>
      <c r="C173" s="3" t="s">
        <v>343</v>
      </c>
      <c r="D173" s="3" t="s">
        <v>17</v>
      </c>
      <c r="E173" s="2" t="s">
        <v>14</v>
      </c>
      <c r="F173" s="3" t="s">
        <v>39</v>
      </c>
      <c r="G173" s="3" t="s">
        <v>20</v>
      </c>
      <c r="H173" s="2">
        <v>3</v>
      </c>
      <c r="I173" s="2">
        <v>30</v>
      </c>
      <c r="J173" s="4">
        <v>105500</v>
      </c>
      <c r="M173">
        <v>105500</v>
      </c>
    </row>
    <row r="174" spans="2:13" ht="15.6" x14ac:dyDescent="0.3">
      <c r="B174" s="2" t="s">
        <v>344</v>
      </c>
      <c r="C174" s="3" t="s">
        <v>345</v>
      </c>
      <c r="D174" s="3" t="s">
        <v>8</v>
      </c>
      <c r="E174" s="2" t="s">
        <v>24</v>
      </c>
      <c r="F174" s="3" t="s">
        <v>39</v>
      </c>
      <c r="G174" s="3" t="s">
        <v>20</v>
      </c>
      <c r="H174" s="2">
        <v>1</v>
      </c>
      <c r="I174" s="2">
        <v>25</v>
      </c>
      <c r="J174" s="4">
        <v>78500</v>
      </c>
      <c r="M174">
        <v>78500</v>
      </c>
    </row>
    <row r="175" spans="2:13" ht="15.6" x14ac:dyDescent="0.3">
      <c r="B175" s="2" t="s">
        <v>346</v>
      </c>
      <c r="C175" s="3" t="s">
        <v>347</v>
      </c>
      <c r="D175" s="3" t="s">
        <v>8</v>
      </c>
      <c r="E175" s="2" t="s">
        <v>24</v>
      </c>
      <c r="F175" s="3" t="s">
        <v>27</v>
      </c>
      <c r="G175" s="3" t="s">
        <v>20</v>
      </c>
      <c r="H175" s="2">
        <v>3</v>
      </c>
      <c r="I175" s="2">
        <v>26</v>
      </c>
      <c r="J175" s="4">
        <v>75500</v>
      </c>
      <c r="M175">
        <v>75500</v>
      </c>
    </row>
    <row r="176" spans="2:13" ht="15.6" x14ac:dyDescent="0.3">
      <c r="B176" s="2" t="s">
        <v>348</v>
      </c>
      <c r="C176" s="3" t="s">
        <v>349</v>
      </c>
      <c r="D176" s="3" t="s">
        <v>47</v>
      </c>
      <c r="E176" s="2" t="s">
        <v>18</v>
      </c>
      <c r="F176" s="3" t="s">
        <v>19</v>
      </c>
      <c r="G176" s="3" t="s">
        <v>11</v>
      </c>
      <c r="H176" s="2">
        <v>15</v>
      </c>
      <c r="I176" s="2">
        <v>43</v>
      </c>
      <c r="J176" s="4">
        <v>176500</v>
      </c>
      <c r="M176">
        <v>176500</v>
      </c>
    </row>
    <row r="177" spans="2:13" ht="15.6" x14ac:dyDescent="0.3">
      <c r="B177" s="2" t="s">
        <v>350</v>
      </c>
      <c r="C177" s="3" t="s">
        <v>351</v>
      </c>
      <c r="D177" s="3" t="s">
        <v>8</v>
      </c>
      <c r="E177" s="2" t="s">
        <v>14</v>
      </c>
      <c r="F177" s="3" t="s">
        <v>33</v>
      </c>
      <c r="G177" s="3" t="s">
        <v>20</v>
      </c>
      <c r="H177" s="2">
        <v>6</v>
      </c>
      <c r="I177" s="2">
        <v>31</v>
      </c>
      <c r="J177" s="4">
        <v>122500</v>
      </c>
      <c r="M177">
        <v>122500</v>
      </c>
    </row>
    <row r="178" spans="2:13" ht="15.6" x14ac:dyDescent="0.3">
      <c r="B178" s="2" t="s">
        <v>352</v>
      </c>
      <c r="C178" s="3" t="s">
        <v>60</v>
      </c>
      <c r="D178" s="3" t="s">
        <v>47</v>
      </c>
      <c r="E178" s="2" t="s">
        <v>18</v>
      </c>
      <c r="F178" s="3" t="s">
        <v>10</v>
      </c>
      <c r="G178" s="3" t="s">
        <v>11</v>
      </c>
      <c r="H178" s="2">
        <v>9</v>
      </c>
      <c r="I178" s="2">
        <v>33</v>
      </c>
      <c r="J178" s="4">
        <v>142500</v>
      </c>
      <c r="M178">
        <v>142500</v>
      </c>
    </row>
    <row r="179" spans="2:13" ht="15.6" x14ac:dyDescent="0.3">
      <c r="B179" s="2" t="s">
        <v>353</v>
      </c>
      <c r="C179" s="3" t="s">
        <v>354</v>
      </c>
      <c r="D179" s="3" t="s">
        <v>81</v>
      </c>
      <c r="E179" s="2" t="s">
        <v>14</v>
      </c>
      <c r="F179" s="3" t="s">
        <v>27</v>
      </c>
      <c r="G179" s="3" t="s">
        <v>20</v>
      </c>
      <c r="H179" s="2">
        <v>3</v>
      </c>
      <c r="I179" s="2">
        <v>26</v>
      </c>
      <c r="J179" s="4">
        <v>95000</v>
      </c>
      <c r="M179">
        <v>95000</v>
      </c>
    </row>
    <row r="180" spans="2:13" ht="15.6" x14ac:dyDescent="0.3">
      <c r="B180" s="2" t="s">
        <v>355</v>
      </c>
      <c r="C180" s="3" t="s">
        <v>356</v>
      </c>
      <c r="D180" s="3" t="s">
        <v>23</v>
      </c>
      <c r="E180" s="2" t="s">
        <v>9</v>
      </c>
      <c r="F180" s="3" t="s">
        <v>39</v>
      </c>
      <c r="G180" s="3" t="s">
        <v>11</v>
      </c>
      <c r="H180" s="2">
        <v>12</v>
      </c>
      <c r="I180" s="2">
        <v>35</v>
      </c>
      <c r="J180" s="4">
        <v>186500</v>
      </c>
      <c r="M180">
        <v>186500</v>
      </c>
    </row>
    <row r="181" spans="2:13" ht="15.6" x14ac:dyDescent="0.3">
      <c r="B181" s="2" t="s">
        <v>357</v>
      </c>
      <c r="C181" s="3" t="s">
        <v>358</v>
      </c>
      <c r="D181" s="3" t="s">
        <v>38</v>
      </c>
      <c r="E181" s="2" t="s">
        <v>24</v>
      </c>
      <c r="F181" s="3" t="s">
        <v>10</v>
      </c>
      <c r="G181" s="3" t="s">
        <v>20</v>
      </c>
      <c r="H181" s="2">
        <v>0</v>
      </c>
      <c r="I181" s="2">
        <v>25</v>
      </c>
      <c r="J181" s="4">
        <v>69000</v>
      </c>
      <c r="M181">
        <v>69000</v>
      </c>
    </row>
    <row r="182" spans="2:13" ht="15.6" x14ac:dyDescent="0.3">
      <c r="B182" s="2" t="s">
        <v>359</v>
      </c>
      <c r="C182" s="3" t="s">
        <v>360</v>
      </c>
      <c r="D182" s="3" t="s">
        <v>32</v>
      </c>
      <c r="E182" s="2" t="s">
        <v>14</v>
      </c>
      <c r="F182" s="3" t="s">
        <v>27</v>
      </c>
      <c r="G182" s="3" t="s">
        <v>42</v>
      </c>
      <c r="H182" s="2">
        <v>5</v>
      </c>
      <c r="I182" s="2">
        <v>30</v>
      </c>
      <c r="J182" s="4">
        <v>96000</v>
      </c>
      <c r="M182">
        <v>96000</v>
      </c>
    </row>
    <row r="183" spans="2:13" ht="15.6" x14ac:dyDescent="0.3">
      <c r="B183" s="2" t="s">
        <v>361</v>
      </c>
      <c r="C183" s="3" t="s">
        <v>362</v>
      </c>
      <c r="D183" s="3" t="s">
        <v>23</v>
      </c>
      <c r="E183" s="2" t="s">
        <v>18</v>
      </c>
      <c r="F183" s="3" t="s">
        <v>33</v>
      </c>
      <c r="G183" s="3" t="s">
        <v>11</v>
      </c>
      <c r="H183" s="2">
        <v>9</v>
      </c>
      <c r="I183" s="2">
        <v>33</v>
      </c>
      <c r="J183" s="4">
        <v>185000</v>
      </c>
      <c r="M183">
        <v>185000</v>
      </c>
    </row>
    <row r="184" spans="2:13" ht="15.6" x14ac:dyDescent="0.3">
      <c r="B184" s="2" t="s">
        <v>363</v>
      </c>
      <c r="C184" s="3" t="s">
        <v>364</v>
      </c>
      <c r="D184" s="3" t="s">
        <v>17</v>
      </c>
      <c r="E184" s="2" t="s">
        <v>18</v>
      </c>
      <c r="F184" s="3" t="s">
        <v>19</v>
      </c>
      <c r="G184" s="3" t="s">
        <v>72</v>
      </c>
      <c r="H184" s="2">
        <v>9</v>
      </c>
      <c r="I184" s="2">
        <v>33</v>
      </c>
      <c r="J184" s="4">
        <v>172500</v>
      </c>
      <c r="M184">
        <v>172500</v>
      </c>
    </row>
    <row r="185" spans="2:13" ht="15.6" x14ac:dyDescent="0.3">
      <c r="B185" s="2" t="s">
        <v>365</v>
      </c>
      <c r="C185" s="3" t="s">
        <v>366</v>
      </c>
      <c r="D185" s="3" t="s">
        <v>23</v>
      </c>
      <c r="E185" s="2" t="s">
        <v>9</v>
      </c>
      <c r="F185" s="3" t="s">
        <v>33</v>
      </c>
      <c r="G185" s="3" t="s">
        <v>20</v>
      </c>
      <c r="H185" s="2">
        <v>6</v>
      </c>
      <c r="I185" s="2">
        <v>29</v>
      </c>
      <c r="J185" s="4">
        <v>156500</v>
      </c>
      <c r="M185">
        <v>156500</v>
      </c>
    </row>
    <row r="186" spans="2:13" ht="15.6" x14ac:dyDescent="0.3">
      <c r="B186" s="2" t="s">
        <v>367</v>
      </c>
      <c r="C186" s="3" t="s">
        <v>142</v>
      </c>
      <c r="D186" s="3" t="s">
        <v>38</v>
      </c>
      <c r="E186" s="2" t="s">
        <v>18</v>
      </c>
      <c r="F186" s="3" t="s">
        <v>27</v>
      </c>
      <c r="G186" s="3" t="s">
        <v>20</v>
      </c>
      <c r="H186" s="2">
        <v>10</v>
      </c>
      <c r="I186" s="2">
        <v>32</v>
      </c>
      <c r="J186" s="4">
        <v>201500</v>
      </c>
      <c r="M186">
        <v>201500</v>
      </c>
    </row>
    <row r="187" spans="2:13" ht="15.6" x14ac:dyDescent="0.3">
      <c r="B187" s="2" t="s">
        <v>368</v>
      </c>
      <c r="C187" s="3" t="s">
        <v>178</v>
      </c>
      <c r="D187" s="3" t="s">
        <v>23</v>
      </c>
      <c r="E187" s="2" t="s">
        <v>14</v>
      </c>
      <c r="F187" s="3" t="s">
        <v>39</v>
      </c>
      <c r="G187" s="3" t="s">
        <v>11</v>
      </c>
      <c r="H187" s="2">
        <v>4</v>
      </c>
      <c r="I187" s="2">
        <v>31</v>
      </c>
      <c r="J187" s="4">
        <v>127000</v>
      </c>
      <c r="M187">
        <v>127000</v>
      </c>
    </row>
    <row r="188" spans="2:13" ht="15.6" x14ac:dyDescent="0.3">
      <c r="B188" s="2" t="s">
        <v>369</v>
      </c>
      <c r="C188" s="3" t="s">
        <v>232</v>
      </c>
      <c r="D188" s="3" t="s">
        <v>23</v>
      </c>
      <c r="E188" s="2" t="s">
        <v>24</v>
      </c>
      <c r="F188" s="3" t="s">
        <v>10</v>
      </c>
      <c r="G188" s="3" t="s">
        <v>20</v>
      </c>
      <c r="H188" s="2">
        <v>0</v>
      </c>
      <c r="I188" s="2">
        <v>26</v>
      </c>
      <c r="J188" s="4">
        <v>71500</v>
      </c>
      <c r="M188">
        <v>71500</v>
      </c>
    </row>
    <row r="189" spans="2:13" ht="15.6" x14ac:dyDescent="0.3">
      <c r="B189" s="2" t="s">
        <v>370</v>
      </c>
      <c r="C189" s="3" t="s">
        <v>371</v>
      </c>
      <c r="D189" s="3" t="s">
        <v>8</v>
      </c>
      <c r="E189" s="2" t="s">
        <v>9</v>
      </c>
      <c r="F189" s="3" t="s">
        <v>10</v>
      </c>
      <c r="G189" s="3" t="s">
        <v>20</v>
      </c>
      <c r="H189" s="2">
        <v>12</v>
      </c>
      <c r="I189" s="2">
        <v>39</v>
      </c>
      <c r="J189" s="4">
        <v>124500</v>
      </c>
      <c r="M189">
        <v>124500</v>
      </c>
    </row>
    <row r="190" spans="2:13" ht="15.6" x14ac:dyDescent="0.3">
      <c r="B190" s="2" t="s">
        <v>372</v>
      </c>
      <c r="C190" s="3" t="s">
        <v>373</v>
      </c>
      <c r="D190" s="3" t="s">
        <v>81</v>
      </c>
      <c r="E190" s="2" t="s">
        <v>14</v>
      </c>
      <c r="F190" s="3" t="s">
        <v>19</v>
      </c>
      <c r="G190" s="3" t="s">
        <v>20</v>
      </c>
      <c r="H190" s="2">
        <v>6</v>
      </c>
      <c r="I190" s="2">
        <v>33</v>
      </c>
      <c r="J190" s="4">
        <v>111000</v>
      </c>
      <c r="M190">
        <v>111000</v>
      </c>
    </row>
    <row r="191" spans="2:13" ht="15.6" x14ac:dyDescent="0.3">
      <c r="B191" s="2" t="s">
        <v>374</v>
      </c>
      <c r="C191" s="3" t="s">
        <v>375</v>
      </c>
      <c r="D191" s="3" t="s">
        <v>23</v>
      </c>
      <c r="E191" s="2" t="s">
        <v>14</v>
      </c>
      <c r="F191" s="3" t="s">
        <v>10</v>
      </c>
      <c r="G191" s="3" t="s">
        <v>72</v>
      </c>
      <c r="H191" s="2">
        <v>2</v>
      </c>
      <c r="I191" s="2">
        <v>29</v>
      </c>
      <c r="J191" s="4">
        <v>128500</v>
      </c>
      <c r="M191">
        <v>128500</v>
      </c>
    </row>
    <row r="192" spans="2:13" ht="15.6" x14ac:dyDescent="0.3">
      <c r="B192" s="2" t="s">
        <v>376</v>
      </c>
      <c r="C192" s="3" t="s">
        <v>377</v>
      </c>
      <c r="D192" s="3" t="s">
        <v>47</v>
      </c>
      <c r="E192" s="2" t="s">
        <v>14</v>
      </c>
      <c r="F192" s="3" t="s">
        <v>39</v>
      </c>
      <c r="G192" s="3" t="s">
        <v>20</v>
      </c>
      <c r="H192" s="2">
        <v>5</v>
      </c>
      <c r="I192" s="2">
        <v>33</v>
      </c>
      <c r="J192" s="4">
        <v>90000</v>
      </c>
      <c r="M192">
        <v>90000</v>
      </c>
    </row>
    <row r="193" spans="2:13" ht="15.6" x14ac:dyDescent="0.3">
      <c r="B193" s="2" t="s">
        <v>378</v>
      </c>
      <c r="C193" s="3" t="s">
        <v>78</v>
      </c>
      <c r="D193" s="3" t="s">
        <v>38</v>
      </c>
      <c r="E193" s="2" t="s">
        <v>67</v>
      </c>
      <c r="F193" s="3" t="s">
        <v>19</v>
      </c>
      <c r="G193" s="3" t="s">
        <v>20</v>
      </c>
      <c r="H193" s="2">
        <v>12</v>
      </c>
      <c r="I193" s="2">
        <v>38</v>
      </c>
      <c r="J193" s="4">
        <v>212500</v>
      </c>
      <c r="M193">
        <v>212500</v>
      </c>
    </row>
    <row r="194" spans="2:13" ht="15.6" x14ac:dyDescent="0.3">
      <c r="B194" s="2" t="s">
        <v>379</v>
      </c>
      <c r="C194" s="3" t="s">
        <v>253</v>
      </c>
      <c r="D194" s="3" t="s">
        <v>81</v>
      </c>
      <c r="E194" s="2" t="s">
        <v>9</v>
      </c>
      <c r="F194" s="3" t="s">
        <v>33</v>
      </c>
      <c r="G194" s="3" t="s">
        <v>42</v>
      </c>
      <c r="H194" s="2">
        <v>8</v>
      </c>
      <c r="I194" s="2">
        <v>32</v>
      </c>
      <c r="J194" s="4">
        <v>139000</v>
      </c>
      <c r="M194">
        <v>139000</v>
      </c>
    </row>
    <row r="195" spans="2:13" ht="15.6" x14ac:dyDescent="0.3">
      <c r="B195" s="2" t="s">
        <v>380</v>
      </c>
      <c r="C195" s="3" t="s">
        <v>381</v>
      </c>
      <c r="D195" s="3" t="s">
        <v>17</v>
      </c>
      <c r="E195" s="2" t="s">
        <v>24</v>
      </c>
      <c r="F195" s="3" t="s">
        <v>27</v>
      </c>
      <c r="G195" s="3" t="s">
        <v>11</v>
      </c>
      <c r="H195" s="2">
        <v>0</v>
      </c>
      <c r="I195" s="2">
        <v>27</v>
      </c>
      <c r="J195" s="4">
        <v>65500</v>
      </c>
      <c r="M195">
        <v>65500</v>
      </c>
    </row>
    <row r="196" spans="2:13" ht="15.6" x14ac:dyDescent="0.3">
      <c r="B196" s="2" t="s">
        <v>382</v>
      </c>
      <c r="C196" s="3" t="s">
        <v>383</v>
      </c>
      <c r="D196" s="3" t="s">
        <v>38</v>
      </c>
      <c r="E196" s="2" t="s">
        <v>24</v>
      </c>
      <c r="F196" s="3" t="s">
        <v>39</v>
      </c>
      <c r="G196" s="3" t="s">
        <v>72</v>
      </c>
      <c r="H196" s="2">
        <v>1</v>
      </c>
      <c r="I196" s="2">
        <v>27</v>
      </c>
      <c r="J196" s="4">
        <v>80500</v>
      </c>
      <c r="M196">
        <v>80500</v>
      </c>
    </row>
    <row r="197" spans="2:13" ht="15.6" x14ac:dyDescent="0.3">
      <c r="B197" s="2" t="s">
        <v>384</v>
      </c>
      <c r="C197" s="3" t="s">
        <v>90</v>
      </c>
      <c r="D197" s="3" t="s">
        <v>17</v>
      </c>
      <c r="E197" s="2" t="s">
        <v>14</v>
      </c>
      <c r="F197" s="3" t="s">
        <v>27</v>
      </c>
      <c r="G197" s="3" t="s">
        <v>11</v>
      </c>
      <c r="H197" s="2">
        <v>7</v>
      </c>
      <c r="I197" s="2">
        <v>34</v>
      </c>
      <c r="J197" s="4">
        <v>111000</v>
      </c>
      <c r="M197">
        <v>111000</v>
      </c>
    </row>
    <row r="198" spans="2:13" ht="15.6" x14ac:dyDescent="0.3">
      <c r="B198" s="2" t="s">
        <v>385</v>
      </c>
      <c r="C198" s="3" t="s">
        <v>386</v>
      </c>
      <c r="D198" s="3" t="s">
        <v>47</v>
      </c>
      <c r="E198" s="2" t="s">
        <v>67</v>
      </c>
      <c r="F198" s="3" t="s">
        <v>27</v>
      </c>
      <c r="G198" s="3" t="s">
        <v>20</v>
      </c>
      <c r="H198" s="2">
        <v>13</v>
      </c>
      <c r="I198" s="2">
        <v>36</v>
      </c>
      <c r="J198" s="4">
        <v>166500</v>
      </c>
      <c r="M198">
        <v>166500</v>
      </c>
    </row>
    <row r="199" spans="2:13" ht="15.6" x14ac:dyDescent="0.3">
      <c r="B199" s="2" t="s">
        <v>387</v>
      </c>
      <c r="C199" s="3" t="s">
        <v>96</v>
      </c>
      <c r="D199" s="3" t="s">
        <v>23</v>
      </c>
      <c r="E199" s="2" t="s">
        <v>24</v>
      </c>
      <c r="F199" s="3" t="s">
        <v>10</v>
      </c>
      <c r="G199" s="3" t="s">
        <v>20</v>
      </c>
      <c r="H199" s="2">
        <v>0</v>
      </c>
      <c r="I199" s="2">
        <v>27</v>
      </c>
      <c r="J199" s="4">
        <v>71500</v>
      </c>
      <c r="M199">
        <v>71500</v>
      </c>
    </row>
    <row r="200" spans="2:13" ht="15.6" x14ac:dyDescent="0.3">
      <c r="B200" s="2" t="s">
        <v>388</v>
      </c>
      <c r="C200" s="3" t="s">
        <v>389</v>
      </c>
      <c r="D200" s="3" t="s">
        <v>8</v>
      </c>
      <c r="E200" s="2" t="s">
        <v>9</v>
      </c>
      <c r="F200" s="3" t="s">
        <v>27</v>
      </c>
      <c r="G200" s="3" t="s">
        <v>20</v>
      </c>
      <c r="H200" s="2">
        <v>5</v>
      </c>
      <c r="I200" s="2">
        <v>28</v>
      </c>
      <c r="J200" s="4">
        <v>143000</v>
      </c>
      <c r="M200">
        <v>143000</v>
      </c>
    </row>
    <row r="201" spans="2:13" ht="15.6" x14ac:dyDescent="0.3">
      <c r="B201" s="2" t="s">
        <v>390</v>
      </c>
      <c r="C201" s="3" t="s">
        <v>391</v>
      </c>
      <c r="D201" s="3" t="s">
        <v>38</v>
      </c>
      <c r="E201" s="2" t="s">
        <v>18</v>
      </c>
      <c r="F201" s="3" t="s">
        <v>19</v>
      </c>
      <c r="G201" s="3" t="s">
        <v>11</v>
      </c>
      <c r="H201" s="2">
        <v>15</v>
      </c>
      <c r="I201" s="2">
        <v>37</v>
      </c>
      <c r="J201" s="4">
        <v>195500</v>
      </c>
      <c r="M201">
        <v>195500</v>
      </c>
    </row>
    <row r="202" spans="2:13" ht="15.6" x14ac:dyDescent="0.3">
      <c r="B202" s="2" t="s">
        <v>392</v>
      </c>
      <c r="C202" s="3" t="s">
        <v>393</v>
      </c>
      <c r="D202" s="3" t="s">
        <v>38</v>
      </c>
      <c r="E202" s="2" t="s">
        <v>67</v>
      </c>
      <c r="F202" s="3" t="s">
        <v>19</v>
      </c>
      <c r="G202" s="3" t="s">
        <v>20</v>
      </c>
      <c r="H202" s="2">
        <v>13</v>
      </c>
      <c r="I202" s="2">
        <v>38</v>
      </c>
      <c r="J202" s="4">
        <v>254000</v>
      </c>
      <c r="M202">
        <v>254000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Sheet1</vt:lpstr>
      <vt:lpstr>Sheet2</vt:lpstr>
      <vt:lpstr>Sheet3</vt:lpstr>
      <vt:lpstr>Sheet5</vt:lpstr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2026-08-14T00:45:20Z</dcterms:created>
  <dcterms:modified xsi:type="dcterms:W3CDTF">2026-08-31T19:13:44Z</dcterms:modified>
</cp:coreProperties>
</file>