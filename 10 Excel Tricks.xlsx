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xcel tests\"/>
    </mc:Choice>
  </mc:AlternateContent>
  <xr:revisionPtr revIDLastSave="0" documentId="13_ncr:1_{B5AF5729-57FC-433E-A6EA-CEAAE1529DDE}" xr6:coauthVersionLast="47" xr6:coauthVersionMax="47" xr10:uidLastSave="{00000000-0000-0000-0000-000000000000}"/>
  <bookViews>
    <workbookView xWindow="-108" yWindow="-108" windowWidth="23256" windowHeight="12456" firstSheet="8" activeTab="12" xr2:uid="{F8BFD87F-EA09-614A-B213-8D8CE4ACB15F}"/>
  </bookViews>
  <sheets>
    <sheet name="Cover Page" sheetId="17" r:id="rId1"/>
    <sheet name="1. 3D Reference" sheetId="3" r:id="rId2"/>
    <sheet name="ES" sheetId="4" r:id="rId3"/>
    <sheet name="FR" sheetId="5" r:id="rId4"/>
    <sheet name="DE" sheetId="6" r:id="rId5"/>
    <sheet name="2. Double Dash" sheetId="1" r:id="rId6"/>
    <sheet name="3. Millions" sheetId="2" r:id="rId7"/>
    <sheet name="4. Aggregate" sheetId="7" r:id="rId8"/>
    <sheet name="5. Named Formula" sheetId="8" r:id="rId9"/>
    <sheet name="6. Cury Brackets" sheetId="13" r:id="rId10"/>
    <sheet name="7. Cell Name" sheetId="16" r:id="rId11"/>
    <sheet name="8. Dot Operator" sheetId="9" r:id="rId12"/>
    <sheet name="9. Arrows" sheetId="12" r:id="rId13"/>
    <sheet name="10. Navigation" sheetId="14" r:id="rId14"/>
  </sheets>
  <definedNames>
    <definedName name="Due_date">'7. Cell Name'!$B$3</definedName>
    <definedName name="GrowthRate">'5. Named Formula'!XFD1/'5. Named Formula'!XFC1-1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9" l="1" a="1"/>
  <c r="C3" i="16" a="1"/>
  <c r="F6" i="13" a="1"/>
  <c r="F7" i="13" a="1"/>
  <c r="F8" i="13" a="1"/>
  <c r="F9" i="13" a="1"/>
  <c r="F10" i="13" a="1"/>
  <c r="F11" i="13" a="1"/>
  <c r="F12" i="13" a="1"/>
  <c r="F13" i="13" a="1"/>
  <c r="F14" i="13" a="1"/>
  <c r="F15" i="13" a="1"/>
  <c r="F16" i="13" a="1"/>
  <c r="F17" i="13" a="1"/>
  <c r="F18" i="13" a="1"/>
  <c r="F19" i="13" a="1"/>
  <c r="F5" i="13" a="1"/>
  <c r="E4" i="8" a="1"/>
  <c r="E5" i="8" a="1"/>
  <c r="E6" i="8" a="1"/>
  <c r="E7" i="8" a="1"/>
  <c r="E8" i="8" a="1"/>
  <c r="E9" i="8" a="1"/>
  <c r="E10" i="8" a="1"/>
  <c r="E11" i="8" a="1"/>
  <c r="E12" i="8" a="1"/>
  <c r="E13" i="8" a="1"/>
  <c r="E14" i="8" a="1"/>
  <c r="E15" i="8" a="1"/>
  <c r="E16" i="8" a="1"/>
  <c r="E17" i="8" a="1"/>
  <c r="E3" i="8" a="1"/>
  <c r="H3" i="7"/>
  <c r="H3" i="1" a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3" i="3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D18" i="8"/>
  <c r="C18" i="8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18" i="8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<sst xmlns="http://schemas.openxmlformats.org/spreadsheetml/2006/main" count="291" uniqueCount="151">
  <si>
    <t>Month</t>
  </si>
  <si>
    <t>Region</t>
  </si>
  <si>
    <t>Actual</t>
  </si>
  <si>
    <t>Budget</t>
  </si>
  <si>
    <t>Jan</t>
  </si>
  <si>
    <t>North</t>
  </si>
  <si>
    <t>Feb</t>
  </si>
  <si>
    <t>South</t>
  </si>
  <si>
    <t>Mar</t>
  </si>
  <si>
    <t>East</t>
  </si>
  <si>
    <t>Apr</t>
  </si>
  <si>
    <t>West</t>
  </si>
  <si>
    <t>May</t>
  </si>
  <si>
    <t>Jun</t>
  </si>
  <si>
    <t>Jul</t>
  </si>
  <si>
    <t>Aug</t>
  </si>
  <si>
    <t>Sep</t>
  </si>
  <si>
    <t>Oct</t>
  </si>
  <si>
    <t>Nov</t>
  </si>
  <si>
    <t>Dec</t>
  </si>
  <si>
    <t>Months we beat the budget</t>
  </si>
  <si>
    <t>Business unit</t>
  </si>
  <si>
    <t>Cloud</t>
  </si>
  <si>
    <t>Hardware</t>
  </si>
  <si>
    <t>Services</t>
  </si>
  <si>
    <t>Advertising</t>
  </si>
  <si>
    <t>Retail</t>
  </si>
  <si>
    <t>Logistics</t>
  </si>
  <si>
    <t>Finance</t>
  </si>
  <si>
    <t>Media</t>
  </si>
  <si>
    <t>Gaming</t>
  </si>
  <si>
    <t>Health</t>
  </si>
  <si>
    <t>Auto</t>
  </si>
  <si>
    <t>Energy</t>
  </si>
  <si>
    <t>Travel</t>
  </si>
  <si>
    <t>Food</t>
  </si>
  <si>
    <t>Other</t>
  </si>
  <si>
    <t>TOTAL</t>
  </si>
  <si>
    <t>Line item</t>
  </si>
  <si>
    <t>Cell</t>
  </si>
  <si>
    <t>Product revenue</t>
  </si>
  <si>
    <t>B3</t>
  </si>
  <si>
    <t>Service revenue</t>
  </si>
  <si>
    <t>B4</t>
  </si>
  <si>
    <t>Other revenue</t>
  </si>
  <si>
    <t>B5</t>
  </si>
  <si>
    <t>COGS - materials</t>
  </si>
  <si>
    <t>B6</t>
  </si>
  <si>
    <t>COGS - labour</t>
  </si>
  <si>
    <t>B7</t>
  </si>
  <si>
    <t>Salaries</t>
  </si>
  <si>
    <t>B8</t>
  </si>
  <si>
    <t>Marketing</t>
  </si>
  <si>
    <t>B9</t>
  </si>
  <si>
    <t>Rent</t>
  </si>
  <si>
    <t>B10</t>
  </si>
  <si>
    <t>Utilities</t>
  </si>
  <si>
    <t>B11</t>
  </si>
  <si>
    <t>Software</t>
  </si>
  <si>
    <t>B12</t>
  </si>
  <si>
    <t>B13</t>
  </si>
  <si>
    <t>Insurance</t>
  </si>
  <si>
    <t>B14</t>
  </si>
  <si>
    <t>Depreciation</t>
  </si>
  <si>
    <t>B15</t>
  </si>
  <si>
    <t>Other opex</t>
  </si>
  <si>
    <t>B16</t>
  </si>
  <si>
    <t>Amount</t>
  </si>
  <si>
    <t>Spelled-out</t>
  </si>
  <si>
    <t>3D reference</t>
  </si>
  <si>
    <t>Spain — P&amp;L (input)</t>
  </si>
  <si>
    <t xml:space="preserve">  France — P&amp;L (input)</t>
  </si>
  <si>
    <t xml:space="preserve">  Germany — P&amp;L (input)</t>
  </si>
  <si>
    <t>Product</t>
  </si>
  <si>
    <t>Revenue</t>
  </si>
  <si>
    <t>Avg price</t>
  </si>
  <si>
    <t>Cloud Pro</t>
  </si>
  <si>
    <t>Analytics</t>
  </si>
  <si>
    <t>Security</t>
  </si>
  <si>
    <t>Storage</t>
  </si>
  <si>
    <t>Mobile</t>
  </si>
  <si>
    <t>Desktop</t>
  </si>
  <si>
    <t>API tier</t>
  </si>
  <si>
    <t>Support</t>
  </si>
  <si>
    <t>Training</t>
  </si>
  <si>
    <t>Add-ons</t>
  </si>
  <si>
    <t>Consulting</t>
  </si>
  <si>
    <t>Partner</t>
  </si>
  <si>
    <t>Legacy</t>
  </si>
  <si>
    <t>Trial</t>
  </si>
  <si>
    <t>Avg. Price</t>
  </si>
  <si>
    <t>Units Sold</t>
  </si>
  <si>
    <t>Prior year</t>
  </si>
  <si>
    <t>This year</t>
  </si>
  <si>
    <t>Growth %</t>
  </si>
  <si>
    <t>Quarter</t>
  </si>
  <si>
    <t>Total Revenue</t>
  </si>
  <si>
    <t>Q1</t>
  </si>
  <si>
    <t>Q2</t>
  </si>
  <si>
    <t>Costs</t>
  </si>
  <si>
    <t>Profit</t>
  </si>
  <si>
    <t>Printer</t>
  </si>
  <si>
    <t>Scanner</t>
  </si>
  <si>
    <t>Laptop</t>
  </si>
  <si>
    <t>Projector</t>
  </si>
  <si>
    <t>Whiteboard</t>
  </si>
  <si>
    <t>Desk Lamp</t>
  </si>
  <si>
    <t>Chair</t>
  </si>
  <si>
    <t>Date</t>
  </si>
  <si>
    <t>Customer</t>
  </si>
  <si>
    <t>Status</t>
  </si>
  <si>
    <t>Money moved?</t>
  </si>
  <si>
    <t>2025-06-01</t>
  </si>
  <si>
    <t>Acme Corp</t>
  </si>
  <si>
    <t>Paid</t>
  </si>
  <si>
    <t>Blue Ridge Ltd</t>
  </si>
  <si>
    <t>Pending</t>
  </si>
  <si>
    <t>2025-06-02</t>
  </si>
  <si>
    <t>Nomura K.K.</t>
  </si>
  <si>
    <t>Refunded</t>
  </si>
  <si>
    <t>Delgado SL</t>
  </si>
  <si>
    <t>Failed</t>
  </si>
  <si>
    <t>2025-06-03</t>
  </si>
  <si>
    <t>Hopewell Inc</t>
  </si>
  <si>
    <t>Sunmark GmbH</t>
  </si>
  <si>
    <t>Chargeback</t>
  </si>
  <si>
    <t>2025-06-04</t>
  </si>
  <si>
    <t>Verity LLC</t>
  </si>
  <si>
    <t>Authorized</t>
  </si>
  <si>
    <t>2025-06-05</t>
  </si>
  <si>
    <t>Kestrel Co</t>
  </si>
  <si>
    <t>2025-06-06</t>
  </si>
  <si>
    <t>Tanaka Trading</t>
  </si>
  <si>
    <t>Orchard Partners</t>
  </si>
  <si>
    <t>2025-06-07</t>
  </si>
  <si>
    <t>2025-06-08</t>
  </si>
  <si>
    <t>IF Paid, Refunded, or Chargeback, then Money Moved TRUE</t>
  </si>
  <si>
    <t>Due Date</t>
  </si>
  <si>
    <t>+7 Days</t>
  </si>
  <si>
    <t>+14 Days</t>
  </si>
  <si>
    <t>+30 Days</t>
  </si>
  <si>
    <t xml:space="preserve">Arrow Formatting: </t>
  </si>
  <si>
    <t>▲0.0%;[Red]▼0.0%;0.0%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</si>
  <si>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</si>
  <si>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</si>
  <si>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Go to Data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</si>
  <si>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</si>
  <si>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</si>
  <si>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</si>
  <si>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</si>
  <si>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10 Excel Tricks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</si>
</sst>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\$#,##0.00"/>
    <numFmt numFmtId="166" formatCode="0.0"/>
    <numFmt numFmtId="167" formatCode="0.0%"/>
    <numFmt numFmtId="168" formatCode="#,##0,,\M"/>
    <numFmt numFmtId="169" formatCode="\▲0.0%;[Red]\▼0.0%;0.0%"/>
  </numFmts>
  <fonts count="2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111827"/>
      <name val="Arial"/>
      <family val="2"/>
    </font>
    <font>
      <sz val="10"/>
      <color rgb="FF1D4ED8"/>
      <name val="Arial"/>
      <family val="2"/>
    </font>
    <font>
      <sz val="10"/>
      <color theme="1"/>
      <name val="Arial"/>
      <family val="2"/>
    </font>
    <font>
      <b/>
      <sz val="10"/>
      <color rgb="FF111827"/>
      <name val="Arial"/>
      <family val="2"/>
    </font>
    <font>
      <b/>
      <sz val="13"/>
      <color rgb="FFFFFFFF"/>
      <name val="Arial"/>
      <family val="2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58"/>
      <color theme="1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rgb="FF073673"/>
      <name val="Aptos Narrow"/>
      <family val="2"/>
      <scheme val="minor"/>
    </font>
    <font>
      <i/>
      <sz val="14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rgb="FF1F2937"/>
      </patternFill>
    </fill>
    <fill>
      <patternFill patternType="solid">
        <fgColor rgb="FF073673"/>
        <bgColor rgb="FF111827"/>
      </patternFill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0" fontId="13" fillId="0" borderId="0" applyNumberFormat="0" applyFill="0" applyBorder="0" applyAlignment="0" applyProtection="0"/>
    <xf numFmtId="0" fontId="12" fillId="0" borderId="0"/>
    <xf numFmtId="0" fontId="13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6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3" fontId="0" fillId="0" borderId="0" xfId="0" applyNumberFormat="1"/>
    <xf numFmtId="3" fontId="4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167" fontId="3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1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 vertical="center" wrapText="1"/>
    </xf>
    <xf numFmtId="9" fontId="3" fillId="0" borderId="0" xfId="0" applyNumberFormat="1" applyFont="1" applyAlignment="1">
      <alignment horizontal="left" vertical="center" wrapText="1"/>
    </xf>
    <xf numFmtId="0" fontId="8" fillId="0" borderId="2" xfId="0" applyFont="1" applyBorder="1"/>
    <xf numFmtId="0" fontId="0" fillId="0" borderId="2" xfId="0" applyBorder="1"/>
    <xf numFmtId="14" fontId="9" fillId="0" borderId="0" xfId="0" applyNumberFormat="1" applyFont="1" applyAlignment="1">
      <alignment horizontal="center"/>
    </xf>
    <xf numFmtId="0" fontId="9" fillId="0" borderId="0" xfId="0" applyFont="1"/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4" fontId="11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8" fillId="0" borderId="0" xfId="0" applyFont="1" applyAlignment="1">
      <alignment horizontal="right"/>
    </xf>
    <xf numFmtId="0" fontId="12" fillId="0" borderId="4" xfId="2" applyBorder="1"/>
    <xf numFmtId="0" fontId="14" fillId="0" borderId="5" xfId="2" applyFont="1" applyBorder="1" applyAlignment="1">
      <alignment horizontal="center" vertical="center"/>
    </xf>
    <xf numFmtId="0" fontId="12" fillId="0" borderId="6" xfId="2" applyBorder="1"/>
    <xf numFmtId="0" fontId="12" fillId="4" borderId="0" xfId="2" applyFill="1"/>
    <xf numFmtId="0" fontId="12" fillId="0" borderId="7" xfId="2" applyBorder="1"/>
    <xf numFmtId="0" fontId="15" fillId="0" borderId="0" xfId="2" applyFont="1" applyAlignment="1">
      <alignment horizontal="center" vertical="center"/>
    </xf>
    <xf numFmtId="0" fontId="12" fillId="0" borderId="8" xfId="2" applyBorder="1"/>
    <xf numFmtId="0" fontId="12" fillId="0" borderId="0" xfId="2"/>
    <xf numFmtId="0" fontId="16" fillId="0" borderId="0" xfId="2" applyFont="1" applyAlignment="1">
      <alignment horizontal="center"/>
    </xf>
    <xf numFmtId="0" fontId="12" fillId="0" borderId="7" xfId="2" applyBorder="1" applyAlignment="1">
      <alignment vertical="center"/>
    </xf>
    <xf numFmtId="0" fontId="18" fillId="5" borderId="9" xfId="3" applyFont="1" applyFill="1" applyBorder="1" applyAlignment="1">
      <alignment horizontal="center" vertical="center"/>
    </xf>
    <xf numFmtId="0" fontId="12" fillId="0" borderId="8" xfId="2" applyBorder="1" applyAlignment="1">
      <alignment vertical="center"/>
    </xf>
    <xf numFmtId="0" fontId="12" fillId="4" borderId="0" xfId="2" applyFill="1" applyAlignment="1">
      <alignment vertical="center"/>
    </xf>
    <xf numFmtId="0" fontId="19" fillId="0" borderId="0" xfId="3" applyFont="1" applyFill="1" applyBorder="1"/>
    <xf numFmtId="0" fontId="20" fillId="0" borderId="10" xfId="2" applyFont="1" applyBorder="1"/>
    <xf numFmtId="0" fontId="12" fillId="0" borderId="0" xfId="2" applyAlignment="1">
      <alignment vertical="top" wrapText="1"/>
    </xf>
    <xf numFmtId="0" fontId="12" fillId="0" borderId="11" xfId="2" applyBorder="1"/>
    <xf numFmtId="0" fontId="12" fillId="0" borderId="10" xfId="2" applyBorder="1"/>
    <xf numFmtId="0" fontId="12" fillId="0" borderId="12" xfId="2" applyBorder="1"/>
    <xf numFmtId="0" fontId="21" fillId="0" borderId="0" xfId="1" applyFont="1"/>
    <xf numFmtId="0" fontId="7" fillId="3" borderId="0" xfId="0" applyFont="1" applyFill="1" applyAlignment="1">
      <alignment horizontal="center" vertical="center"/>
    </xf>
    <xf numFmtId="168" fontId="5" fillId="0" borderId="0" xfId="0" applyNumberFormat="1" applyFon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left" vertical="top"/>
    </xf>
    <xf numFmtId="169" fontId="3" fillId="0" borderId="1" xfId="0" applyNumberFormat="1" applyFont="1" applyBorder="1" applyAlignment="1">
      <alignment horizontal="center" vertical="center" wrapText="1"/>
    </xf>
  </cellXfs>
  <cellStyles count="4">
    <cellStyle name="Hyperlink" xfId="1" builtinId="8"/>
    <cellStyle name="Hyperlink 2" xfId="3" xr:uid="{01A884DB-845B-A147-B5B9-15BBFEFBF66E}"/>
    <cellStyle name="Normal" xfId="0" builtinId="0"/>
    <cellStyle name="Normal 2 2" xfId="2" xr:uid="{049D722A-A9CE-FA4F-97B7-52F1DBF1FBED}"/>
  </cellStyles>
  <dxfs count="0"/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DCE572-EBE5-6D4D-BCC9-1D1685B07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27713"/>
          <a:ext cx="2648507" cy="9214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E24A-EEB7-ED44-B461-66AC8FCE5215}">
  <dimension ref="B3:D18"/>
  <sheetViews>
    <sheetView showGridLines="0" zoomScale="110" zoomScaleNormal="110" workbookViewId="0">
      <selection activeCell="E8" sqref="E8"/>
    </sheetView>
  </sheetViews>
  <sheetFormatPr defaultColWidth="10.796875" defaultRowHeight="15.6" x14ac:dyDescent="0.3"/>
  <cols>
    <col min="1" max="1" width="10.796875" style="40"/>
    <col min="2" max="2" width="8.5" style="40" customWidth="1"/>
    <col min="3" max="3" width="95.69921875" style="40" customWidth="1"/>
    <col min="4" max="4" width="9.5" style="40" customWidth="1"/>
    <col min="5" max="16384" width="10.796875" style="40"/>
  </cols>
  <sheetData>
    <row r="3" spans="2:4" ht="76.2" x14ac:dyDescent="0.3">
      <c r="B3" s="37"/>
      <c r="C3" s="38" t="s">
        <v>150</v>
      </c>
      <c r="D3" s="39"/>
    </row>
    <row r="4" spans="2:4" ht="42" customHeight="1" x14ac:dyDescent="0.3">
      <c r="B4" s="41"/>
      <c r="C4" s="42"/>
      <c r="D4" s="43"/>
    </row>
    <row r="5" spans="2:4" ht="31.95" customHeight="1" x14ac:dyDescent="0.3">
      <c r="B5" s="41"/>
      <c r="C5" s="42"/>
      <c r="D5" s="43"/>
    </row>
    <row r="6" spans="2:4" ht="10.95" customHeight="1" x14ac:dyDescent="0.3">
      <c r="B6" s="41"/>
      <c r="C6" s="44"/>
      <c r="D6" s="43"/>
    </row>
    <row r="7" spans="2:4" ht="21" x14ac:dyDescent="0.4">
      <c r="B7" s="41"/>
      <c r="C7" s="45" t="s">
        <v>143</v>
      </c>
      <c r="D7" s="43"/>
    </row>
    <row r="8" spans="2:4" ht="10.95" customHeight="1" x14ac:dyDescent="0.3">
      <c r="B8" s="41"/>
      <c r="C8" s="44"/>
      <c r="D8" s="43"/>
    </row>
    <row r="9" spans="2:4" s="49" customFormat="1" ht="25.8" x14ac:dyDescent="0.3">
      <c r="B9" s="46"/>
      <c r="C9" s="47" t="s">
        <v>144</v>
      </c>
      <c r="D9" s="48"/>
    </row>
    <row r="10" spans="2:4" x14ac:dyDescent="0.3">
      <c r="B10" s="41"/>
      <c r="C10" s="44"/>
      <c r="D10" s="43"/>
    </row>
    <row r="11" spans="2:4" ht="18" x14ac:dyDescent="0.35">
      <c r="B11" s="41"/>
      <c r="C11" s="56" t="s">
        <v>145</v>
      </c>
      <c r="D11" s="43"/>
    </row>
    <row r="12" spans="2:4" ht="6" customHeight="1" x14ac:dyDescent="0.3">
      <c r="B12" s="41"/>
      <c r="C12" s="44"/>
      <c r="D12" s="43"/>
    </row>
    <row r="13" spans="2:4" ht="18" x14ac:dyDescent="0.35">
      <c r="B13" s="41"/>
      <c r="C13" s="50" t="s">
        <v>146</v>
      </c>
      <c r="D13" s="43"/>
    </row>
    <row r="14" spans="2:4" ht="7.95" customHeight="1" x14ac:dyDescent="0.3">
      <c r="B14" s="41"/>
      <c r="C14" s="44"/>
      <c r="D14" s="43"/>
    </row>
    <row r="15" spans="2:4" x14ac:dyDescent="0.3">
      <c r="B15" s="41"/>
      <c r="C15" s="51" t="s">
        <v>147</v>
      </c>
      <c r="D15" s="43"/>
    </row>
    <row r="16" spans="2:4" x14ac:dyDescent="0.3">
      <c r="B16" s="41"/>
      <c r="C16" s="44" t="s">
        <v>148</v>
      </c>
      <c r="D16" s="43"/>
    </row>
    <row r="17" spans="2:4" ht="31.2" x14ac:dyDescent="0.3">
      <c r="B17" s="41"/>
      <c r="C17" s="52" t="s">
        <v>149</v>
      </c>
      <c r="D17" s="43"/>
    </row>
    <row r="18" spans="2:4" x14ac:dyDescent="0.3">
      <c r="B18" s="53"/>
      <c r="C18" s="54"/>
      <c r="D18" s="55"/>
    </row>
  </sheetData>
  <sheetProtection algorithmName="SHA-512" hashValue="DjhkpwP76eTUKBzdVBae0pqqi/2T647ZhVXbBxnROjAxEULFmzBuyUUXqjMKLzrnutjpo6vQPkUysUOrjg9w/Q==" saltValue="HSkHOthDn3+2RZEG9MKkMg==" spinCount="100000" sheet="1" objects="1" scenarios="1"/>
  <hyperlinks>
    <hyperlink ref="C9" r:id="rId1" display="Get our VBA &amp; Macros Course" xr:uid="{D0753C1F-1510-C54A-8CB5-672223A1E04A}"/>
    <hyperlink ref="C11" location="'1. 3D Reference'!A1" display="Go to Data Here" xr:uid="{4FC71DEC-A598-C145-958F-9FE835C6AC8F}"/>
    <hyperlink ref="C13" r:id="rId2" display="Made by Kenji Explains" xr:uid="{3B1FAF03-1501-444C-B939-73D5FD1D969C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8562-92E4-8442-BEB1-4BE2AC50B79C}">
  <dimension ref="B2:E16"/>
  <sheetViews>
    <sheetView workbookViewId="0">
      <selection activeCell="E17" sqref="E17"/>
    </sheetView>
  </sheetViews>
  <sheetFormatPr defaultColWidth="11.19921875" defaultRowHeight="15.6" x14ac:dyDescent="0.3"/>
  <cols>
    <col min="2" max="2" width="16.796875" customWidth="1"/>
    <col min="5" max="5" width="13.5" customWidth="1"/>
  </cols>
  <sheetData>
    <row r="2" spans="2:5" x14ac:dyDescent="0.3">
      <c r="B2" s="3" t="s">
        <v>38</v>
      </c>
      <c r="C2" s="3" t="s">
        <v>39</v>
      </c>
      <c r="D2" s="3" t="s">
        <v>68</v>
      </c>
      <c r="E2" s="3" t="s">
        <v>69</v>
      </c>
    </row>
    <row r="3" spans="2:5" ht="16.95" customHeight="1" x14ac:dyDescent="0.3">
      <c r="B3" s="8" t="s">
        <v>40</v>
      </c>
      <c r="C3" s="1" t="s">
        <v>41</v>
      </c>
      <c r="D3" s="15"/>
      <c r="E3" s="15">
        <f>SUM(ES:DE!B3)</f>
        <v>215000</v>
      </c>
    </row>
    <row r="4" spans="2:5" ht="16.95" customHeight="1" x14ac:dyDescent="0.3">
      <c r="B4" s="8" t="s">
        <v>42</v>
      </c>
      <c r="C4" s="1" t="s">
        <v>43</v>
      </c>
      <c r="D4" s="15"/>
      <c r="E4" s="15">
        <f>SUM(ES:DE!B4)</f>
        <v>178000</v>
      </c>
    </row>
    <row r="5" spans="2:5" ht="16.95" customHeight="1" x14ac:dyDescent="0.3">
      <c r="B5" s="8" t="s">
        <v>44</v>
      </c>
      <c r="C5" s="1" t="s">
        <v>45</v>
      </c>
      <c r="D5" s="15"/>
      <c r="E5" s="15">
        <f>SUM(ES:DE!B5)</f>
        <v>414000</v>
      </c>
    </row>
    <row r="6" spans="2:5" ht="16.95" customHeight="1" x14ac:dyDescent="0.3">
      <c r="B6" s="8" t="s">
        <v>46</v>
      </c>
      <c r="C6" s="1" t="s">
        <v>47</v>
      </c>
      <c r="D6" s="15"/>
      <c r="E6" s="15">
        <f>SUM(ES:DE!B6)</f>
        <v>454000</v>
      </c>
    </row>
    <row r="7" spans="2:5" ht="16.95" customHeight="1" x14ac:dyDescent="0.3">
      <c r="B7" s="8" t="s">
        <v>48</v>
      </c>
      <c r="C7" s="1" t="s">
        <v>49</v>
      </c>
      <c r="D7" s="15"/>
      <c r="E7" s="15">
        <f>SUM(ES:DE!B7)</f>
        <v>458000</v>
      </c>
    </row>
    <row r="8" spans="2:5" ht="16.95" customHeight="1" x14ac:dyDescent="0.3">
      <c r="B8" s="8" t="s">
        <v>50</v>
      </c>
      <c r="C8" s="1" t="s">
        <v>51</v>
      </c>
      <c r="D8" s="15"/>
      <c r="E8" s="15">
        <f>SUM(ES:DE!B8)</f>
        <v>326000</v>
      </c>
    </row>
    <row r="9" spans="2:5" ht="16.95" customHeight="1" x14ac:dyDescent="0.3">
      <c r="B9" s="8" t="s">
        <v>52</v>
      </c>
      <c r="C9" s="1" t="s">
        <v>53</v>
      </c>
      <c r="D9" s="15"/>
      <c r="E9" s="15">
        <f>SUM(ES:DE!B9)</f>
        <v>248000</v>
      </c>
    </row>
    <row r="10" spans="2:5" ht="16.95" customHeight="1" x14ac:dyDescent="0.3">
      <c r="B10" s="8" t="s">
        <v>54</v>
      </c>
      <c r="C10" s="1" t="s">
        <v>55</v>
      </c>
      <c r="D10" s="15"/>
      <c r="E10" s="15">
        <f>SUM(ES:DE!B10)</f>
        <v>340000</v>
      </c>
    </row>
    <row r="11" spans="2:5" ht="16.95" customHeight="1" x14ac:dyDescent="0.3">
      <c r="B11" s="8" t="s">
        <v>56</v>
      </c>
      <c r="C11" s="1" t="s">
        <v>57</v>
      </c>
      <c r="D11" s="15"/>
      <c r="E11" s="15">
        <f>SUM(ES:DE!B11)</f>
        <v>334000</v>
      </c>
    </row>
    <row r="12" spans="2:5" ht="16.95" customHeight="1" x14ac:dyDescent="0.3">
      <c r="B12" s="8" t="s">
        <v>58</v>
      </c>
      <c r="C12" s="1" t="s">
        <v>59</v>
      </c>
      <c r="D12" s="15"/>
      <c r="E12" s="15">
        <f>SUM(ES:DE!B12)</f>
        <v>373000</v>
      </c>
    </row>
    <row r="13" spans="2:5" ht="16.95" customHeight="1" x14ac:dyDescent="0.3">
      <c r="B13" s="8" t="s">
        <v>34</v>
      </c>
      <c r="C13" s="1" t="s">
        <v>60</v>
      </c>
      <c r="D13" s="15"/>
      <c r="E13" s="15">
        <f>SUM(ES:DE!B13)</f>
        <v>155000</v>
      </c>
    </row>
    <row r="14" spans="2:5" ht="16.95" customHeight="1" x14ac:dyDescent="0.3">
      <c r="B14" s="8" t="s">
        <v>61</v>
      </c>
      <c r="C14" s="1" t="s">
        <v>62</v>
      </c>
      <c r="D14" s="15"/>
      <c r="E14" s="15">
        <f>SUM(ES:DE!B14)</f>
        <v>322000</v>
      </c>
    </row>
    <row r="15" spans="2:5" ht="16.95" customHeight="1" x14ac:dyDescent="0.3">
      <c r="B15" s="8" t="s">
        <v>63</v>
      </c>
      <c r="C15" s="1" t="s">
        <v>64</v>
      </c>
      <c r="D15" s="15"/>
      <c r="E15" s="15">
        <f>SUM(ES:DE!B15)</f>
        <v>330000</v>
      </c>
    </row>
    <row r="16" spans="2:5" ht="16.95" customHeight="1" x14ac:dyDescent="0.3">
      <c r="B16" s="8" t="s">
        <v>65</v>
      </c>
      <c r="C16" s="1" t="s">
        <v>66</v>
      </c>
      <c r="D16" s="15"/>
      <c r="E16" s="15">
        <f>SUM(ES:DE!B16)</f>
        <v>282000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6275-B03E-784E-948C-BD9C48C0A4D1}">
  <dimension ref="A1:B16"/>
  <sheetViews>
    <sheetView workbookViewId="0">
      <selection activeCell="B3" sqref="B3"/>
    </sheetView>
  </sheetViews>
  <sheetFormatPr defaultColWidth="11.19921875" defaultRowHeight="15.6" x14ac:dyDescent="0.3"/>
  <cols>
    <col min="1" max="1" width="17.19921875" customWidth="1"/>
    <col min="2" max="2" width="14" customWidth="1"/>
  </cols>
  <sheetData>
    <row r="1" spans="1:2" ht="16.8" x14ac:dyDescent="0.3">
      <c r="A1" s="57" t="s">
        <v>70</v>
      </c>
      <c r="B1" s="57"/>
    </row>
    <row r="2" spans="1:2" x14ac:dyDescent="0.3">
      <c r="A2" s="3" t="s">
        <v>38</v>
      </c>
      <c r="B2" s="3" t="s">
        <v>67</v>
      </c>
    </row>
    <row r="3" spans="1:2" ht="16.95" customHeight="1" x14ac:dyDescent="0.3">
      <c r="A3" s="10" t="s">
        <v>40</v>
      </c>
      <c r="B3" s="14">
        <v>62000</v>
      </c>
    </row>
    <row r="4" spans="1:2" ht="16.95" customHeight="1" x14ac:dyDescent="0.3">
      <c r="A4" s="10" t="s">
        <v>42</v>
      </c>
      <c r="B4" s="14">
        <v>127000</v>
      </c>
    </row>
    <row r="5" spans="1:2" ht="16.95" customHeight="1" x14ac:dyDescent="0.3">
      <c r="A5" s="10" t="s">
        <v>44</v>
      </c>
      <c r="B5" s="14">
        <v>196000</v>
      </c>
    </row>
    <row r="6" spans="1:2" ht="16.95" customHeight="1" x14ac:dyDescent="0.3">
      <c r="A6" s="10" t="s">
        <v>46</v>
      </c>
      <c r="B6" s="14">
        <v>127000</v>
      </c>
    </row>
    <row r="7" spans="1:2" ht="16.95" customHeight="1" x14ac:dyDescent="0.3">
      <c r="A7" s="10" t="s">
        <v>48</v>
      </c>
      <c r="B7" s="14">
        <v>182000</v>
      </c>
    </row>
    <row r="8" spans="1:2" ht="16.95" customHeight="1" x14ac:dyDescent="0.3">
      <c r="A8" s="10" t="s">
        <v>50</v>
      </c>
      <c r="B8" s="14">
        <v>92000</v>
      </c>
    </row>
    <row r="9" spans="1:2" ht="16.95" customHeight="1" x14ac:dyDescent="0.3">
      <c r="A9" s="10" t="s">
        <v>52</v>
      </c>
      <c r="B9" s="14">
        <v>142000</v>
      </c>
    </row>
    <row r="10" spans="1:2" ht="16.95" customHeight="1" x14ac:dyDescent="0.3">
      <c r="A10" s="10" t="s">
        <v>54</v>
      </c>
      <c r="B10" s="14">
        <v>75000</v>
      </c>
    </row>
    <row r="11" spans="1:2" ht="16.95" customHeight="1" x14ac:dyDescent="0.3">
      <c r="A11" s="10" t="s">
        <v>56</v>
      </c>
      <c r="B11" s="14">
        <v>141000</v>
      </c>
    </row>
    <row r="12" spans="1:2" ht="16.95" customHeight="1" x14ac:dyDescent="0.3">
      <c r="A12" s="10" t="s">
        <v>58</v>
      </c>
      <c r="B12" s="14">
        <v>151000</v>
      </c>
    </row>
    <row r="13" spans="1:2" ht="16.95" customHeight="1" x14ac:dyDescent="0.3">
      <c r="A13" s="10" t="s">
        <v>34</v>
      </c>
      <c r="B13" s="14">
        <v>66000</v>
      </c>
    </row>
    <row r="14" spans="1:2" ht="16.95" customHeight="1" x14ac:dyDescent="0.3">
      <c r="A14" s="10" t="s">
        <v>61</v>
      </c>
      <c r="B14" s="14">
        <v>149000</v>
      </c>
    </row>
    <row r="15" spans="1:2" ht="16.95" customHeight="1" x14ac:dyDescent="0.3">
      <c r="A15" s="10" t="s">
        <v>63</v>
      </c>
      <c r="B15" s="14">
        <v>155000</v>
      </c>
    </row>
    <row r="16" spans="1:2" ht="16.95" customHeight="1" x14ac:dyDescent="0.3">
      <c r="A16" s="10" t="s">
        <v>65</v>
      </c>
      <c r="B16" s="14">
        <v>80000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D32A-8B34-8145-A03D-458211C4C014}">
  <dimension ref="A1:B19"/>
  <sheetViews>
    <sheetView workbookViewId="0">
      <selection sqref="A1:B1"/>
    </sheetView>
  </sheetViews>
  <sheetFormatPr defaultColWidth="11.19921875" defaultRowHeight="15.6" x14ac:dyDescent="0.3"/>
  <cols>
    <col min="1" max="1" width="19.69921875" customWidth="1"/>
  </cols>
  <sheetData>
    <row r="1" spans="1:2" ht="16.8" x14ac:dyDescent="0.3">
      <c r="A1" s="57" t="s">
        <v>71</v>
      </c>
      <c r="B1" s="57"/>
    </row>
    <row r="2" spans="1:2" x14ac:dyDescent="0.3">
      <c r="A2" s="3" t="s">
        <v>38</v>
      </c>
      <c r="B2" s="3" t="s">
        <v>67</v>
      </c>
    </row>
    <row r="3" spans="1:2" ht="16.95" customHeight="1" x14ac:dyDescent="0.3">
      <c r="A3" s="10" t="s">
        <v>40</v>
      </c>
      <c r="B3" s="14">
        <v>20000</v>
      </c>
    </row>
    <row r="4" spans="1:2" ht="16.95" customHeight="1" x14ac:dyDescent="0.3">
      <c r="A4" s="10" t="s">
        <v>42</v>
      </c>
      <c r="B4" s="14">
        <v>23000</v>
      </c>
    </row>
    <row r="5" spans="1:2" ht="16.95" customHeight="1" x14ac:dyDescent="0.3">
      <c r="A5" s="10" t="s">
        <v>44</v>
      </c>
      <c r="B5" s="14">
        <v>114000</v>
      </c>
    </row>
    <row r="6" spans="1:2" ht="16.95" customHeight="1" x14ac:dyDescent="0.3">
      <c r="A6" s="10" t="s">
        <v>46</v>
      </c>
      <c r="B6" s="14">
        <v>169000</v>
      </c>
    </row>
    <row r="7" spans="1:2" ht="16.95" customHeight="1" x14ac:dyDescent="0.3">
      <c r="A7" s="10" t="s">
        <v>48</v>
      </c>
      <c r="B7" s="14">
        <v>129000</v>
      </c>
    </row>
    <row r="8" spans="1:2" ht="16.95" customHeight="1" x14ac:dyDescent="0.3">
      <c r="A8" s="10" t="s">
        <v>50</v>
      </c>
      <c r="B8" s="14">
        <v>37000</v>
      </c>
    </row>
    <row r="9" spans="1:2" ht="16.95" customHeight="1" x14ac:dyDescent="0.3">
      <c r="A9" s="10" t="s">
        <v>52</v>
      </c>
      <c r="B9" s="14">
        <v>57000</v>
      </c>
    </row>
    <row r="10" spans="1:2" ht="16.95" customHeight="1" x14ac:dyDescent="0.3">
      <c r="A10" s="10" t="s">
        <v>54</v>
      </c>
      <c r="B10" s="14">
        <v>79000</v>
      </c>
    </row>
    <row r="11" spans="1:2" ht="16.95" customHeight="1" x14ac:dyDescent="0.3">
      <c r="A11" s="10" t="s">
        <v>56</v>
      </c>
      <c r="B11" s="14">
        <v>79000</v>
      </c>
    </row>
    <row r="12" spans="1:2" ht="16.95" customHeight="1" x14ac:dyDescent="0.3">
      <c r="A12" s="10" t="s">
        <v>58</v>
      </c>
      <c r="B12" s="14">
        <v>197000</v>
      </c>
    </row>
    <row r="13" spans="1:2" ht="16.95" customHeight="1" x14ac:dyDescent="0.3">
      <c r="A13" s="10" t="s">
        <v>34</v>
      </c>
      <c r="B13" s="14">
        <v>30000</v>
      </c>
    </row>
    <row r="14" spans="1:2" ht="16.95" customHeight="1" x14ac:dyDescent="0.3">
      <c r="A14" s="10" t="s">
        <v>61</v>
      </c>
      <c r="B14" s="14">
        <v>131000</v>
      </c>
    </row>
    <row r="15" spans="1:2" ht="16.95" customHeight="1" x14ac:dyDescent="0.3">
      <c r="A15" s="10" t="s">
        <v>63</v>
      </c>
      <c r="B15" s="14">
        <v>124000</v>
      </c>
    </row>
    <row r="16" spans="1:2" ht="16.95" customHeight="1" x14ac:dyDescent="0.3">
      <c r="A16" s="10" t="s">
        <v>65</v>
      </c>
      <c r="B16" s="14">
        <v>177000</v>
      </c>
    </row>
    <row r="17" ht="16.95" customHeight="1" x14ac:dyDescent="0.3"/>
    <row r="18" ht="16.95" customHeight="1" x14ac:dyDescent="0.3"/>
    <row r="19" ht="16.95" customHeight="1" x14ac:dyDescent="0.3"/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1AB4-89A6-014E-A6DF-38563D8C6379}">
  <dimension ref="A1:B16"/>
  <sheetViews>
    <sheetView workbookViewId="0">
      <selection sqref="A1:B1"/>
    </sheetView>
  </sheetViews>
  <sheetFormatPr defaultColWidth="11.19921875" defaultRowHeight="15.6" x14ac:dyDescent="0.3"/>
  <cols>
    <col min="1" max="1" width="17.69921875" customWidth="1"/>
  </cols>
  <sheetData>
    <row r="1" spans="1:2" ht="16.8" x14ac:dyDescent="0.3">
      <c r="A1" s="57" t="s">
        <v>72</v>
      </c>
      <c r="B1" s="57"/>
    </row>
    <row r="2" spans="1:2" x14ac:dyDescent="0.3">
      <c r="A2" s="3" t="s">
        <v>38</v>
      </c>
      <c r="B2" s="3" t="s">
        <v>67</v>
      </c>
    </row>
    <row r="3" spans="1:2" ht="16.95" customHeight="1" x14ac:dyDescent="0.3">
      <c r="A3" s="10" t="s">
        <v>40</v>
      </c>
      <c r="B3" s="14">
        <v>133000</v>
      </c>
    </row>
    <row r="4" spans="1:2" ht="16.95" customHeight="1" x14ac:dyDescent="0.3">
      <c r="A4" s="10" t="s">
        <v>42</v>
      </c>
      <c r="B4" s="14">
        <v>28000</v>
      </c>
    </row>
    <row r="5" spans="1:2" ht="16.95" customHeight="1" x14ac:dyDescent="0.3">
      <c r="A5" s="10" t="s">
        <v>44</v>
      </c>
      <c r="B5" s="14">
        <v>104000</v>
      </c>
    </row>
    <row r="6" spans="1:2" ht="16.95" customHeight="1" x14ac:dyDescent="0.3">
      <c r="A6" s="10" t="s">
        <v>46</v>
      </c>
      <c r="B6" s="14">
        <v>158000</v>
      </c>
    </row>
    <row r="7" spans="1:2" ht="16.95" customHeight="1" x14ac:dyDescent="0.3">
      <c r="A7" s="10" t="s">
        <v>48</v>
      </c>
      <c r="B7" s="14">
        <v>147000</v>
      </c>
    </row>
    <row r="8" spans="1:2" ht="16.95" customHeight="1" x14ac:dyDescent="0.3">
      <c r="A8" s="10" t="s">
        <v>50</v>
      </c>
      <c r="B8" s="14">
        <v>197000</v>
      </c>
    </row>
    <row r="9" spans="1:2" ht="16.95" customHeight="1" x14ac:dyDescent="0.3">
      <c r="A9" s="10" t="s">
        <v>52</v>
      </c>
      <c r="B9" s="14">
        <v>49000</v>
      </c>
    </row>
    <row r="10" spans="1:2" ht="16.95" customHeight="1" x14ac:dyDescent="0.3">
      <c r="A10" s="10" t="s">
        <v>54</v>
      </c>
      <c r="B10" s="14">
        <v>186000</v>
      </c>
    </row>
    <row r="11" spans="1:2" ht="16.95" customHeight="1" x14ac:dyDescent="0.3">
      <c r="A11" s="10" t="s">
        <v>56</v>
      </c>
      <c r="B11" s="14">
        <v>114000</v>
      </c>
    </row>
    <row r="12" spans="1:2" ht="16.95" customHeight="1" x14ac:dyDescent="0.3">
      <c r="A12" s="10" t="s">
        <v>58</v>
      </c>
      <c r="B12" s="14">
        <v>25000</v>
      </c>
    </row>
    <row r="13" spans="1:2" ht="16.95" customHeight="1" x14ac:dyDescent="0.3">
      <c r="A13" s="10" t="s">
        <v>34</v>
      </c>
      <c r="B13" s="14">
        <v>59000</v>
      </c>
    </row>
    <row r="14" spans="1:2" ht="16.95" customHeight="1" x14ac:dyDescent="0.3">
      <c r="A14" s="10" t="s">
        <v>61</v>
      </c>
      <c r="B14" s="14">
        <v>42000</v>
      </c>
    </row>
    <row r="15" spans="1:2" ht="16.95" customHeight="1" x14ac:dyDescent="0.3">
      <c r="A15" s="10" t="s">
        <v>63</v>
      </c>
      <c r="B15" s="14">
        <v>51000</v>
      </c>
    </row>
    <row r="16" spans="1:2" ht="16.95" customHeight="1" x14ac:dyDescent="0.3">
      <c r="A16" s="10" t="s">
        <v>65</v>
      </c>
      <c r="B16" s="14">
        <v>25000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817C-0D19-AE45-9B0C-2D18D9A0A9D2}">
  <dimension ref="B2:H17"/>
  <sheetViews>
    <sheetView zoomScale="130" zoomScaleNormal="130" workbookViewId="0">
      <selection activeCell="H4" sqref="H4"/>
    </sheetView>
  </sheetViews>
  <sheetFormatPr defaultColWidth="11.19921875" defaultRowHeight="15.6" x14ac:dyDescent="0.3"/>
  <cols>
    <col min="1" max="1" width="4.296875" customWidth="1"/>
    <col min="2" max="2" width="9" customWidth="1"/>
    <col min="3" max="3" width="9.19921875" customWidth="1"/>
    <col min="6" max="6" width="6.5" customWidth="1"/>
    <col min="7" max="7" width="23.296875" bestFit="1" customWidth="1"/>
  </cols>
  <sheetData>
    <row r="2" spans="2:8" x14ac:dyDescent="0.3">
      <c r="B2" s="3" t="s">
        <v>0</v>
      </c>
      <c r="C2" s="3" t="s">
        <v>1</v>
      </c>
      <c r="D2" s="3" t="s">
        <v>2</v>
      </c>
      <c r="E2" s="3" t="s">
        <v>3</v>
      </c>
    </row>
    <row r="3" spans="2:8" x14ac:dyDescent="0.3">
      <c r="B3" s="4" t="s">
        <v>4</v>
      </c>
      <c r="C3" s="4" t="s">
        <v>5</v>
      </c>
      <c r="D3" s="5">
        <v>137000</v>
      </c>
      <c r="E3" s="5">
        <v>125000</v>
      </c>
      <c r="G3" s="6" t="s">
        <v>20</v>
      </c>
      <c r="H3" s="35" cm="1">
        <f t="array" ref="H3">SUMPRODUCT(--(D3:D17&gt;E3:E17))</f>
        <v>12</v>
      </c>
    </row>
    <row r="4" spans="2:8" x14ac:dyDescent="0.3">
      <c r="B4" s="4" t="s">
        <v>6</v>
      </c>
      <c r="C4" s="4" t="s">
        <v>7</v>
      </c>
      <c r="D4" s="5">
        <v>139000</v>
      </c>
      <c r="E4" s="5">
        <v>118000</v>
      </c>
      <c r="G4" s="6"/>
      <c r="H4" s="7"/>
    </row>
    <row r="5" spans="2:8" x14ac:dyDescent="0.3">
      <c r="B5" s="4" t="s">
        <v>8</v>
      </c>
      <c r="C5" s="4" t="s">
        <v>9</v>
      </c>
      <c r="D5" s="5">
        <v>145000</v>
      </c>
      <c r="E5" s="5">
        <v>127000</v>
      </c>
      <c r="G5" s="6"/>
    </row>
    <row r="6" spans="2:8" x14ac:dyDescent="0.3">
      <c r="B6" s="4" t="s">
        <v>10</v>
      </c>
      <c r="C6" s="4" t="s">
        <v>11</v>
      </c>
      <c r="D6" s="5">
        <v>104000</v>
      </c>
      <c r="E6" s="5">
        <v>101000</v>
      </c>
    </row>
    <row r="7" spans="2:8" x14ac:dyDescent="0.3">
      <c r="B7" s="4" t="s">
        <v>12</v>
      </c>
      <c r="C7" s="4" t="s">
        <v>5</v>
      </c>
      <c r="D7" s="5">
        <v>145000</v>
      </c>
      <c r="E7" s="5">
        <v>120000</v>
      </c>
    </row>
    <row r="8" spans="2:8" x14ac:dyDescent="0.3">
      <c r="B8" s="4" t="s">
        <v>13</v>
      </c>
      <c r="C8" s="4" t="s">
        <v>7</v>
      </c>
      <c r="D8" s="5">
        <v>160000</v>
      </c>
      <c r="E8" s="5">
        <v>129000</v>
      </c>
    </row>
    <row r="9" spans="2:8" x14ac:dyDescent="0.3">
      <c r="B9" s="4" t="s">
        <v>14</v>
      </c>
      <c r="C9" s="4" t="s">
        <v>9</v>
      </c>
      <c r="D9" s="5">
        <v>103000</v>
      </c>
      <c r="E9" s="5">
        <v>96000</v>
      </c>
    </row>
    <row r="10" spans="2:8" x14ac:dyDescent="0.3">
      <c r="B10" s="4" t="s">
        <v>15</v>
      </c>
      <c r="C10" s="4" t="s">
        <v>11</v>
      </c>
      <c r="D10" s="5">
        <v>137000</v>
      </c>
      <c r="E10" s="5">
        <v>109000</v>
      </c>
    </row>
    <row r="11" spans="2:8" x14ac:dyDescent="0.3">
      <c r="B11" s="4" t="s">
        <v>16</v>
      </c>
      <c r="C11" s="4" t="s">
        <v>5</v>
      </c>
      <c r="D11" s="5">
        <v>98000</v>
      </c>
      <c r="E11" s="5">
        <v>95000</v>
      </c>
    </row>
    <row r="12" spans="2:8" x14ac:dyDescent="0.3">
      <c r="B12" s="4" t="s">
        <v>17</v>
      </c>
      <c r="C12" s="4" t="s">
        <v>7</v>
      </c>
      <c r="D12" s="5">
        <v>148000</v>
      </c>
      <c r="E12" s="5">
        <v>134000</v>
      </c>
    </row>
    <row r="13" spans="2:8" x14ac:dyDescent="0.3">
      <c r="B13" s="4" t="s">
        <v>18</v>
      </c>
      <c r="C13" s="4" t="s">
        <v>9</v>
      </c>
      <c r="D13" s="5">
        <v>85000</v>
      </c>
      <c r="E13" s="5">
        <v>128000</v>
      </c>
    </row>
    <row r="14" spans="2:8" x14ac:dyDescent="0.3">
      <c r="B14" s="4" t="s">
        <v>19</v>
      </c>
      <c r="C14" s="4" t="s">
        <v>11</v>
      </c>
      <c r="D14" s="5">
        <v>130000</v>
      </c>
      <c r="E14" s="5">
        <v>118000</v>
      </c>
    </row>
    <row r="15" spans="2:8" x14ac:dyDescent="0.3">
      <c r="B15" s="4" t="s">
        <v>4</v>
      </c>
      <c r="C15" s="4" t="s">
        <v>5</v>
      </c>
      <c r="D15" s="5">
        <v>158000</v>
      </c>
      <c r="E15" s="5">
        <v>131000</v>
      </c>
    </row>
    <row r="16" spans="2:8" x14ac:dyDescent="0.3">
      <c r="B16" s="4" t="s">
        <v>6</v>
      </c>
      <c r="C16" s="4" t="s">
        <v>7</v>
      </c>
      <c r="D16" s="5">
        <v>100000</v>
      </c>
      <c r="E16" s="5">
        <v>129000</v>
      </c>
    </row>
    <row r="17" spans="2:5" x14ac:dyDescent="0.3">
      <c r="B17" s="4" t="s">
        <v>8</v>
      </c>
      <c r="C17" s="4" t="s">
        <v>9</v>
      </c>
      <c r="D17" s="5">
        <v>81000</v>
      </c>
      <c r="E17" s="5">
        <v>123000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2C3A-AD97-AC40-8909-4751185FD94B}">
  <dimension ref="B2:E18"/>
  <sheetViews>
    <sheetView zoomScale="136" workbookViewId="0">
      <selection activeCell="D3" sqref="D3"/>
    </sheetView>
  </sheetViews>
  <sheetFormatPr defaultColWidth="11.19921875" defaultRowHeight="15.6" x14ac:dyDescent="0.3"/>
  <cols>
    <col min="1" max="1" width="6.796875" customWidth="1"/>
    <col min="3" max="3" width="12.69921875" bestFit="1" customWidth="1"/>
    <col min="5" max="5" width="13.296875" customWidth="1"/>
  </cols>
  <sheetData>
    <row r="2" spans="2:5" ht="26.4" x14ac:dyDescent="0.3">
      <c r="B2" s="3" t="s">
        <v>21</v>
      </c>
      <c r="C2" s="3" t="s">
        <v>74</v>
      </c>
    </row>
    <row r="3" spans="2:5" x14ac:dyDescent="0.3">
      <c r="B3" s="10" t="s">
        <v>22</v>
      </c>
      <c r="C3" s="58">
        <v>586222860</v>
      </c>
      <c r="E3" s="11"/>
    </row>
    <row r="4" spans="2:5" x14ac:dyDescent="0.3">
      <c r="B4" s="10" t="s">
        <v>23</v>
      </c>
      <c r="C4" s="58">
        <v>576791350</v>
      </c>
      <c r="E4" s="11"/>
    </row>
    <row r="5" spans="2:5" x14ac:dyDescent="0.3">
      <c r="B5" s="10" t="s">
        <v>24</v>
      </c>
      <c r="C5" s="58">
        <v>44950980</v>
      </c>
      <c r="E5" s="11"/>
    </row>
    <row r="6" spans="2:5" x14ac:dyDescent="0.3">
      <c r="B6" s="10" t="s">
        <v>25</v>
      </c>
      <c r="C6" s="58">
        <v>68461510</v>
      </c>
      <c r="E6" s="11"/>
    </row>
    <row r="7" spans="2:5" x14ac:dyDescent="0.3">
      <c r="B7" s="10" t="s">
        <v>26</v>
      </c>
      <c r="C7" s="58">
        <v>63956630</v>
      </c>
      <c r="E7" s="11"/>
    </row>
    <row r="8" spans="2:5" x14ac:dyDescent="0.3">
      <c r="B8" s="10" t="s">
        <v>27</v>
      </c>
      <c r="C8" s="58">
        <v>249301560</v>
      </c>
      <c r="E8" s="11"/>
    </row>
    <row r="9" spans="2:5" x14ac:dyDescent="0.3">
      <c r="B9" s="10" t="s">
        <v>28</v>
      </c>
      <c r="C9" s="58">
        <v>567693800</v>
      </c>
      <c r="E9" s="11"/>
    </row>
    <row r="10" spans="2:5" x14ac:dyDescent="0.3">
      <c r="B10" s="10" t="s">
        <v>29</v>
      </c>
      <c r="C10" s="58">
        <v>120470090</v>
      </c>
      <c r="E10" s="11"/>
    </row>
    <row r="11" spans="2:5" x14ac:dyDescent="0.3">
      <c r="B11" s="10" t="s">
        <v>30</v>
      </c>
      <c r="C11" s="58">
        <v>500901090</v>
      </c>
      <c r="E11" s="11"/>
    </row>
    <row r="12" spans="2:5" x14ac:dyDescent="0.3">
      <c r="B12" s="10" t="s">
        <v>31</v>
      </c>
      <c r="C12" s="58">
        <v>549885230</v>
      </c>
      <c r="E12" s="11"/>
    </row>
    <row r="13" spans="2:5" x14ac:dyDescent="0.3">
      <c r="B13" s="10" t="s">
        <v>32</v>
      </c>
      <c r="C13" s="58">
        <v>456448460</v>
      </c>
      <c r="E13" s="11"/>
    </row>
    <row r="14" spans="2:5" x14ac:dyDescent="0.3">
      <c r="B14" s="10" t="s">
        <v>33</v>
      </c>
      <c r="C14" s="58">
        <v>579998550</v>
      </c>
      <c r="E14" s="11"/>
    </row>
    <row r="15" spans="2:5" x14ac:dyDescent="0.3">
      <c r="B15" s="10" t="s">
        <v>34</v>
      </c>
      <c r="C15" s="58">
        <v>213786870</v>
      </c>
      <c r="E15" s="11"/>
    </row>
    <row r="16" spans="2:5" x14ac:dyDescent="0.3">
      <c r="B16" s="10" t="s">
        <v>35</v>
      </c>
      <c r="C16" s="58">
        <v>175834690</v>
      </c>
      <c r="E16" s="11"/>
    </row>
    <row r="17" spans="2:5" x14ac:dyDescent="0.3">
      <c r="B17" s="10" t="s">
        <v>36</v>
      </c>
      <c r="C17" s="58">
        <v>413642240</v>
      </c>
      <c r="E17" s="11"/>
    </row>
    <row r="18" spans="2:5" x14ac:dyDescent="0.3">
      <c r="B18" s="12" t="s">
        <v>37</v>
      </c>
      <c r="C18" s="59">
        <v>5168345910</v>
      </c>
      <c r="E18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2134-18E0-8042-AD0C-AF1F821DD5CE}">
  <dimension ref="B2:H17"/>
  <sheetViews>
    <sheetView zoomScale="120" zoomScaleNormal="120" workbookViewId="0">
      <selection activeCell="H4" sqref="H4"/>
    </sheetView>
  </sheetViews>
  <sheetFormatPr defaultColWidth="11.19921875" defaultRowHeight="15.6" x14ac:dyDescent="0.3"/>
  <cols>
    <col min="1" max="1" width="4.5" customWidth="1"/>
    <col min="6" max="6" width="6.19921875" customWidth="1"/>
    <col min="7" max="7" width="14.69921875" bestFit="1" customWidth="1"/>
    <col min="8" max="8" width="8.69921875" customWidth="1"/>
  </cols>
  <sheetData>
    <row r="2" spans="2:8" x14ac:dyDescent="0.3">
      <c r="B2" s="3" t="s">
        <v>73</v>
      </c>
      <c r="C2" s="3" t="s">
        <v>74</v>
      </c>
      <c r="D2" s="3" t="s">
        <v>91</v>
      </c>
      <c r="E2" s="3" t="s">
        <v>75</v>
      </c>
    </row>
    <row r="3" spans="2:8" x14ac:dyDescent="0.3">
      <c r="B3" s="10" t="s">
        <v>76</v>
      </c>
      <c r="C3" s="14">
        <v>30537</v>
      </c>
      <c r="D3" s="16">
        <v>783</v>
      </c>
      <c r="E3" s="17">
        <f t="shared" ref="E3:E17" si="0">C3/D3</f>
        <v>39</v>
      </c>
      <c r="G3" t="s">
        <v>90</v>
      </c>
      <c r="H3" s="18">
        <f>_xlfn.AGGREGATE(1,6,E3:E17)</f>
        <v>35.769230769230766</v>
      </c>
    </row>
    <row r="4" spans="2:8" x14ac:dyDescent="0.3">
      <c r="B4" s="10" t="s">
        <v>77</v>
      </c>
      <c r="C4" s="14">
        <v>22995</v>
      </c>
      <c r="D4" s="16">
        <v>511</v>
      </c>
      <c r="E4" s="17">
        <f t="shared" si="0"/>
        <v>45</v>
      </c>
    </row>
    <row r="5" spans="2:8" x14ac:dyDescent="0.3">
      <c r="B5" s="10" t="s">
        <v>78</v>
      </c>
      <c r="C5" s="14">
        <v>0</v>
      </c>
      <c r="D5" s="16">
        <v>0</v>
      </c>
      <c r="E5" s="17" t="e">
        <f t="shared" si="0"/>
        <v>#DIV/0!</v>
      </c>
      <c r="H5" s="19"/>
    </row>
    <row r="6" spans="2:8" x14ac:dyDescent="0.3">
      <c r="B6" s="10" t="s">
        <v>79</v>
      </c>
      <c r="C6" s="14">
        <v>37120</v>
      </c>
      <c r="D6" s="16">
        <v>1280</v>
      </c>
      <c r="E6" s="17">
        <f t="shared" si="0"/>
        <v>29</v>
      </c>
    </row>
    <row r="7" spans="2:8" x14ac:dyDescent="0.3">
      <c r="B7" s="10" t="s">
        <v>80</v>
      </c>
      <c r="C7" s="14">
        <v>11616</v>
      </c>
      <c r="D7" s="16">
        <v>484</v>
      </c>
      <c r="E7" s="17">
        <f t="shared" si="0"/>
        <v>24</v>
      </c>
      <c r="H7" s="18"/>
    </row>
    <row r="8" spans="2:8" x14ac:dyDescent="0.3">
      <c r="B8" s="10" t="s">
        <v>81</v>
      </c>
      <c r="C8" s="14">
        <v>15300</v>
      </c>
      <c r="D8" s="16">
        <v>340</v>
      </c>
      <c r="E8" s="17">
        <f t="shared" si="0"/>
        <v>45</v>
      </c>
    </row>
    <row r="9" spans="2:8" x14ac:dyDescent="0.3">
      <c r="B9" s="10" t="s">
        <v>82</v>
      </c>
      <c r="C9" s="14">
        <v>54150</v>
      </c>
      <c r="D9" s="16">
        <v>1425</v>
      </c>
      <c r="E9" s="17">
        <f t="shared" si="0"/>
        <v>38</v>
      </c>
    </row>
    <row r="10" spans="2:8" x14ac:dyDescent="0.3">
      <c r="B10" s="10" t="s">
        <v>83</v>
      </c>
      <c r="C10" s="14">
        <v>44597</v>
      </c>
      <c r="D10" s="16">
        <v>1939</v>
      </c>
      <c r="E10" s="17">
        <f t="shared" si="0"/>
        <v>23</v>
      </c>
    </row>
    <row r="11" spans="2:8" x14ac:dyDescent="0.3">
      <c r="B11" s="10" t="s">
        <v>84</v>
      </c>
      <c r="C11" s="14">
        <v>39962</v>
      </c>
      <c r="D11" s="16">
        <v>754</v>
      </c>
      <c r="E11" s="17">
        <f t="shared" si="0"/>
        <v>53</v>
      </c>
    </row>
    <row r="12" spans="2:8" x14ac:dyDescent="0.3">
      <c r="B12" s="10" t="s">
        <v>85</v>
      </c>
      <c r="C12" s="14">
        <v>0</v>
      </c>
      <c r="D12" s="16">
        <v>0</v>
      </c>
      <c r="E12" s="17" t="e">
        <f t="shared" si="0"/>
        <v>#DIV/0!</v>
      </c>
    </row>
    <row r="13" spans="2:8" x14ac:dyDescent="0.3">
      <c r="B13" s="10" t="s">
        <v>23</v>
      </c>
      <c r="C13" s="14">
        <v>60157</v>
      </c>
      <c r="D13" s="16">
        <v>1399</v>
      </c>
      <c r="E13" s="17">
        <f t="shared" si="0"/>
        <v>43</v>
      </c>
    </row>
    <row r="14" spans="2:8" x14ac:dyDescent="0.3">
      <c r="B14" s="10" t="s">
        <v>86</v>
      </c>
      <c r="C14" s="14">
        <v>26846</v>
      </c>
      <c r="D14" s="16">
        <v>866</v>
      </c>
      <c r="E14" s="17">
        <f t="shared" si="0"/>
        <v>31</v>
      </c>
    </row>
    <row r="15" spans="2:8" x14ac:dyDescent="0.3">
      <c r="B15" s="10" t="s">
        <v>87</v>
      </c>
      <c r="C15" s="14">
        <v>51818</v>
      </c>
      <c r="D15" s="16">
        <v>1993</v>
      </c>
      <c r="E15" s="17">
        <f t="shared" si="0"/>
        <v>26</v>
      </c>
    </row>
    <row r="16" spans="2:8" x14ac:dyDescent="0.3">
      <c r="B16" s="10" t="s">
        <v>88</v>
      </c>
      <c r="C16" s="14">
        <v>27588</v>
      </c>
      <c r="D16" s="16">
        <v>836</v>
      </c>
      <c r="E16" s="17">
        <f t="shared" si="0"/>
        <v>33</v>
      </c>
    </row>
    <row r="17" spans="2:5" x14ac:dyDescent="0.3">
      <c r="B17" s="10" t="s">
        <v>89</v>
      </c>
      <c r="C17" s="14">
        <v>12672</v>
      </c>
      <c r="D17" s="16">
        <v>352</v>
      </c>
      <c r="E17" s="17">
        <f t="shared" si="0"/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3F42-C83E-A14B-9358-1453ED35A6D7}">
  <dimension ref="B2:E18"/>
  <sheetViews>
    <sheetView workbookViewId="0">
      <selection activeCell="E3" sqref="E3:E17"/>
    </sheetView>
  </sheetViews>
  <sheetFormatPr defaultColWidth="11.19921875" defaultRowHeight="15.6" x14ac:dyDescent="0.3"/>
  <cols>
    <col min="2" max="2" width="13.19921875" customWidth="1"/>
    <col min="3" max="3" width="11.796875" customWidth="1"/>
    <col min="4" max="4" width="12.5" customWidth="1"/>
  </cols>
  <sheetData>
    <row r="2" spans="2:5" x14ac:dyDescent="0.3">
      <c r="B2" s="3" t="s">
        <v>21</v>
      </c>
      <c r="C2" s="3" t="s">
        <v>92</v>
      </c>
      <c r="D2" s="3" t="s">
        <v>93</v>
      </c>
      <c r="E2" s="3" t="s">
        <v>94</v>
      </c>
    </row>
    <row r="3" spans="2:5" x14ac:dyDescent="0.3">
      <c r="B3" s="8" t="s">
        <v>22</v>
      </c>
      <c r="C3" s="2">
        <v>3749000</v>
      </c>
      <c r="D3" s="2">
        <v>4369838</v>
      </c>
      <c r="E3" s="20" cm="1">
        <f t="array" ref="E3">GrowthRate</f>
        <v>0.16560096025606819</v>
      </c>
    </row>
    <row r="4" spans="2:5" x14ac:dyDescent="0.3">
      <c r="B4" s="8" t="s">
        <v>23</v>
      </c>
      <c r="C4" s="2">
        <v>830000</v>
      </c>
      <c r="D4" s="2">
        <v>926918</v>
      </c>
      <c r="E4" s="20" cm="1">
        <f t="array" ref="E4">GrowthRate</f>
        <v>0.11676867469879526</v>
      </c>
    </row>
    <row r="5" spans="2:5" x14ac:dyDescent="0.3">
      <c r="B5" s="8" t="s">
        <v>24</v>
      </c>
      <c r="C5" s="2">
        <v>1571000</v>
      </c>
      <c r="D5" s="2">
        <v>1367166</v>
      </c>
      <c r="E5" s="20" cm="1">
        <f t="array" ref="E5">GrowthRate</f>
        <v>-0.12974793125397832</v>
      </c>
    </row>
    <row r="6" spans="2:5" x14ac:dyDescent="0.3">
      <c r="B6" s="8" t="s">
        <v>25</v>
      </c>
      <c r="C6" s="2">
        <v>1096000</v>
      </c>
      <c r="D6" s="2">
        <v>1331147</v>
      </c>
      <c r="E6" s="20" cm="1">
        <f t="array" ref="E6">GrowthRate</f>
        <v>0.21455018248175173</v>
      </c>
    </row>
    <row r="7" spans="2:5" x14ac:dyDescent="0.3">
      <c r="B7" s="8" t="s">
        <v>26</v>
      </c>
      <c r="C7" s="2">
        <v>2426000</v>
      </c>
      <c r="D7" s="2">
        <v>3350390</v>
      </c>
      <c r="E7" s="20" cm="1">
        <f t="array" ref="E7">GrowthRate</f>
        <v>0.38103462489694961</v>
      </c>
    </row>
    <row r="8" spans="2:5" x14ac:dyDescent="0.3">
      <c r="B8" s="8" t="s">
        <v>27</v>
      </c>
      <c r="C8" s="2">
        <v>3509000</v>
      </c>
      <c r="D8" s="2">
        <v>3702830</v>
      </c>
      <c r="E8" s="20" cm="1">
        <f t="array" ref="E8">GrowthRate</f>
        <v>5.5237959532630443E-2</v>
      </c>
    </row>
    <row r="9" spans="2:5" x14ac:dyDescent="0.3">
      <c r="B9" s="8" t="s">
        <v>28</v>
      </c>
      <c r="C9" s="2">
        <v>3654000</v>
      </c>
      <c r="D9" s="2">
        <v>3149891</v>
      </c>
      <c r="E9" s="20" cm="1">
        <f t="array" ref="E9">GrowthRate</f>
        <v>-0.13796086480569236</v>
      </c>
    </row>
    <row r="10" spans="2:5" x14ac:dyDescent="0.3">
      <c r="B10" s="8" t="s">
        <v>29</v>
      </c>
      <c r="C10" s="2">
        <v>2502000</v>
      </c>
      <c r="D10" s="2">
        <v>3230215</v>
      </c>
      <c r="E10" s="20" cm="1">
        <f t="array" ref="E10">GrowthRate</f>
        <v>0.29105315747402072</v>
      </c>
    </row>
    <row r="11" spans="2:5" x14ac:dyDescent="0.3">
      <c r="B11" s="8" t="s">
        <v>30</v>
      </c>
      <c r="C11" s="2">
        <v>3489000</v>
      </c>
      <c r="D11" s="2">
        <v>4639947</v>
      </c>
      <c r="E11" s="20" cm="1">
        <f t="array" ref="E11">GrowthRate</f>
        <v>0.32987876182287179</v>
      </c>
    </row>
    <row r="12" spans="2:5" x14ac:dyDescent="0.3">
      <c r="B12" s="8" t="s">
        <v>31</v>
      </c>
      <c r="C12" s="2">
        <v>2704000</v>
      </c>
      <c r="D12" s="2">
        <v>3100373</v>
      </c>
      <c r="E12" s="20" cm="1">
        <f t="array" ref="E12">GrowthRate</f>
        <v>0.14658764792899404</v>
      </c>
    </row>
    <row r="13" spans="2:5" x14ac:dyDescent="0.3">
      <c r="B13" s="8" t="s">
        <v>32</v>
      </c>
      <c r="C13" s="2">
        <v>885000</v>
      </c>
      <c r="D13" s="2">
        <v>846185</v>
      </c>
      <c r="E13" s="20" cm="1">
        <f t="array" ref="E13">GrowthRate</f>
        <v>-4.3858757062146925E-2</v>
      </c>
    </row>
    <row r="14" spans="2:5" x14ac:dyDescent="0.3">
      <c r="B14" s="8" t="s">
        <v>33</v>
      </c>
      <c r="C14" s="2">
        <v>2767000</v>
      </c>
      <c r="D14" s="2">
        <v>3416520</v>
      </c>
      <c r="E14" s="20" cm="1">
        <f t="array" ref="E14">GrowthRate</f>
        <v>0.23473798337549701</v>
      </c>
    </row>
    <row r="15" spans="2:5" x14ac:dyDescent="0.3">
      <c r="B15" s="8" t="s">
        <v>34</v>
      </c>
      <c r="C15" s="2">
        <v>3485000</v>
      </c>
      <c r="D15" s="2">
        <v>3471187</v>
      </c>
      <c r="E15" s="20" cm="1">
        <f t="array" ref="E15">GrowthRate</f>
        <v>-3.9635581061693292E-3</v>
      </c>
    </row>
    <row r="16" spans="2:5" x14ac:dyDescent="0.3">
      <c r="B16" s="8" t="s">
        <v>35</v>
      </c>
      <c r="C16" s="2">
        <v>3790000</v>
      </c>
      <c r="D16" s="2">
        <v>4493143</v>
      </c>
      <c r="E16" s="20" cm="1">
        <f t="array" ref="E16">GrowthRate</f>
        <v>0.18552585751978889</v>
      </c>
    </row>
    <row r="17" spans="2:5" x14ac:dyDescent="0.3">
      <c r="B17" s="8" t="s">
        <v>36</v>
      </c>
      <c r="C17" s="2">
        <v>860000</v>
      </c>
      <c r="D17" s="2">
        <v>1130345</v>
      </c>
      <c r="E17" s="20" cm="1">
        <f t="array" ref="E17">GrowthRate</f>
        <v>0.3143546511627906</v>
      </c>
    </row>
    <row r="18" spans="2:5" x14ac:dyDescent="0.3">
      <c r="B18" s="9" t="s">
        <v>37</v>
      </c>
      <c r="C18" s="21">
        <f>SUM(C3:C17)</f>
        <v>37317000</v>
      </c>
      <c r="D18" s="21">
        <f>SUM(D3:D17)</f>
        <v>42526095</v>
      </c>
      <c r="E18" s="22">
        <f t="shared" ref="E3:E18" si="0">D18/C18-1</f>
        <v>0.13959040115764942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5D18-F588-B34B-9A09-95D23C3F7770}">
  <dimension ref="B1:F23"/>
  <sheetViews>
    <sheetView zoomScale="142" workbookViewId="0">
      <selection activeCell="F5" sqref="F5:F19"/>
    </sheetView>
  </sheetViews>
  <sheetFormatPr defaultColWidth="11.19921875" defaultRowHeight="15.6" x14ac:dyDescent="0.3"/>
  <cols>
    <col min="1" max="1" width="5" customWidth="1"/>
    <col min="3" max="3" width="15.19921875" customWidth="1"/>
    <col min="5" max="5" width="10.19921875" customWidth="1"/>
    <col min="6" max="6" width="13.296875" bestFit="1" customWidth="1"/>
    <col min="8" max="8" width="26.5" customWidth="1"/>
  </cols>
  <sheetData>
    <row r="1" spans="2:6" ht="16.05" customHeight="1" x14ac:dyDescent="0.3"/>
    <row r="2" spans="2:6" ht="16.05" customHeight="1" x14ac:dyDescent="0.3">
      <c r="B2" s="28" t="s">
        <v>136</v>
      </c>
      <c r="C2" s="29"/>
      <c r="D2" s="29"/>
      <c r="E2" s="29"/>
      <c r="F2" s="29"/>
    </row>
    <row r="3" spans="2:6" ht="16.05" customHeight="1" x14ac:dyDescent="0.3"/>
    <row r="4" spans="2:6" ht="16.05" customHeight="1" x14ac:dyDescent="0.3">
      <c r="B4" s="24" t="s">
        <v>108</v>
      </c>
      <c r="C4" s="24" t="s">
        <v>109</v>
      </c>
      <c r="D4" s="24" t="s">
        <v>67</v>
      </c>
      <c r="E4" s="24" t="s">
        <v>110</v>
      </c>
      <c r="F4" s="24" t="s">
        <v>111</v>
      </c>
    </row>
    <row r="5" spans="2:6" ht="16.05" customHeight="1" x14ac:dyDescent="0.3">
      <c r="B5" s="10" t="s">
        <v>112</v>
      </c>
      <c r="C5" s="10" t="s">
        <v>113</v>
      </c>
      <c r="D5" s="14">
        <v>1240</v>
      </c>
      <c r="E5" s="27" t="s">
        <v>114</v>
      </c>
      <c r="F5" s="26" t="b" cm="1">
        <f t="array" ref="F5">OR(E5={"Paid","Refunded","Chargeback"})</f>
        <v>1</v>
      </c>
    </row>
    <row r="6" spans="2:6" ht="16.05" customHeight="1" x14ac:dyDescent="0.3">
      <c r="B6" s="10" t="s">
        <v>112</v>
      </c>
      <c r="C6" s="10" t="s">
        <v>115</v>
      </c>
      <c r="D6" s="14">
        <v>89.99</v>
      </c>
      <c r="E6" s="27" t="s">
        <v>116</v>
      </c>
      <c r="F6" s="26" t="b" cm="1">
        <f t="array" ref="F6">OR(E6={"Paid","Refunded","Chargeback"})</f>
        <v>0</v>
      </c>
    </row>
    <row r="7" spans="2:6" ht="16.05" customHeight="1" x14ac:dyDescent="0.3">
      <c r="B7" s="10" t="s">
        <v>117</v>
      </c>
      <c r="C7" s="10" t="s">
        <v>118</v>
      </c>
      <c r="D7" s="14">
        <v>450</v>
      </c>
      <c r="E7" s="27" t="s">
        <v>119</v>
      </c>
      <c r="F7" s="26" t="b" cm="1">
        <f t="array" ref="F7">OR(E7={"Paid","Refunded","Chargeback"})</f>
        <v>1</v>
      </c>
    </row>
    <row r="8" spans="2:6" ht="16.05" customHeight="1" x14ac:dyDescent="0.3">
      <c r="B8" s="10" t="s">
        <v>117</v>
      </c>
      <c r="C8" s="10" t="s">
        <v>120</v>
      </c>
      <c r="D8" s="14">
        <v>32.5</v>
      </c>
      <c r="E8" s="27" t="s">
        <v>121</v>
      </c>
      <c r="F8" s="26" t="b" cm="1">
        <f t="array" ref="F8">OR(E8={"Paid","Refunded","Chargeback"})</f>
        <v>0</v>
      </c>
    </row>
    <row r="9" spans="2:6" ht="16.05" customHeight="1" x14ac:dyDescent="0.3">
      <c r="B9" s="10" t="s">
        <v>122</v>
      </c>
      <c r="C9" s="10" t="s">
        <v>123</v>
      </c>
      <c r="D9" s="14">
        <v>2100</v>
      </c>
      <c r="E9" s="27" t="s">
        <v>114</v>
      </c>
      <c r="F9" s="26" t="b" cm="1">
        <f t="array" ref="F9">OR(E9={"Paid","Refunded","Chargeback"})</f>
        <v>1</v>
      </c>
    </row>
    <row r="10" spans="2:6" ht="16.05" customHeight="1" x14ac:dyDescent="0.3">
      <c r="B10" s="10" t="s">
        <v>122</v>
      </c>
      <c r="C10" s="10" t="s">
        <v>124</v>
      </c>
      <c r="D10" s="14">
        <v>675</v>
      </c>
      <c r="E10" s="27" t="s">
        <v>125</v>
      </c>
      <c r="F10" s="26" t="b" cm="1">
        <f t="array" ref="F10">OR(E10={"Paid","Refunded","Chargeback"})</f>
        <v>1</v>
      </c>
    </row>
    <row r="11" spans="2:6" ht="16.05" customHeight="1" x14ac:dyDescent="0.3">
      <c r="B11" s="10" t="s">
        <v>126</v>
      </c>
      <c r="C11" s="10" t="s">
        <v>127</v>
      </c>
      <c r="D11" s="14">
        <v>199</v>
      </c>
      <c r="E11" s="27" t="s">
        <v>128</v>
      </c>
      <c r="F11" s="26" t="b" cm="1">
        <f t="array" ref="F11">OR(E11={"Paid","Refunded","Chargeback"})</f>
        <v>0</v>
      </c>
    </row>
    <row r="12" spans="2:6" ht="16.05" customHeight="1" x14ac:dyDescent="0.3">
      <c r="B12" s="10" t="s">
        <v>126</v>
      </c>
      <c r="C12" s="10" t="s">
        <v>113</v>
      </c>
      <c r="D12" s="14">
        <v>540</v>
      </c>
      <c r="E12" s="27" t="s">
        <v>114</v>
      </c>
      <c r="F12" s="26" t="b" cm="1">
        <f t="array" ref="F12">OR(E12={"Paid","Refunded","Chargeback"})</f>
        <v>1</v>
      </c>
    </row>
    <row r="13" spans="2:6" ht="16.05" customHeight="1" x14ac:dyDescent="0.3">
      <c r="B13" s="10" t="s">
        <v>129</v>
      </c>
      <c r="C13" s="10" t="s">
        <v>130</v>
      </c>
      <c r="D13" s="14">
        <v>78.25</v>
      </c>
      <c r="E13" s="27" t="s">
        <v>116</v>
      </c>
      <c r="F13" s="26" t="b" cm="1">
        <f t="array" ref="F13">OR(E13={"Paid","Refunded","Chargeback"})</f>
        <v>0</v>
      </c>
    </row>
    <row r="14" spans="2:6" ht="16.05" customHeight="1" x14ac:dyDescent="0.3">
      <c r="B14" s="10" t="s">
        <v>129</v>
      </c>
      <c r="C14" s="10" t="s">
        <v>115</v>
      </c>
      <c r="D14" s="14">
        <v>120</v>
      </c>
      <c r="E14" s="27" t="s">
        <v>119</v>
      </c>
      <c r="F14" s="26" t="b" cm="1">
        <f t="array" ref="F14">OR(E14={"Paid","Refunded","Chargeback"})</f>
        <v>1</v>
      </c>
    </row>
    <row r="15" spans="2:6" ht="16.05" customHeight="1" x14ac:dyDescent="0.3">
      <c r="B15" s="10" t="s">
        <v>131</v>
      </c>
      <c r="C15" s="10" t="s">
        <v>132</v>
      </c>
      <c r="D15" s="14">
        <v>15.99</v>
      </c>
      <c r="E15" s="27" t="s">
        <v>121</v>
      </c>
      <c r="F15" s="26" t="b" cm="1">
        <f t="array" ref="F15">OR(E15={"Paid","Refunded","Chargeback"})</f>
        <v>0</v>
      </c>
    </row>
    <row r="16" spans="2:6" ht="16.05" customHeight="1" x14ac:dyDescent="0.3">
      <c r="B16" s="10" t="s">
        <v>131</v>
      </c>
      <c r="C16" s="10" t="s">
        <v>133</v>
      </c>
      <c r="D16" s="14">
        <v>3320</v>
      </c>
      <c r="E16" s="27" t="s">
        <v>114</v>
      </c>
      <c r="F16" s="26" t="b" cm="1">
        <f t="array" ref="F16">OR(E16={"Paid","Refunded","Chargeback"})</f>
        <v>1</v>
      </c>
    </row>
    <row r="17" spans="2:6" ht="16.05" customHeight="1" x14ac:dyDescent="0.3">
      <c r="B17" s="10" t="s">
        <v>134</v>
      </c>
      <c r="C17" s="10" t="s">
        <v>127</v>
      </c>
      <c r="D17" s="14">
        <v>210</v>
      </c>
      <c r="E17" s="27" t="s">
        <v>125</v>
      </c>
      <c r="F17" s="26" t="b" cm="1">
        <f t="array" ref="F17">OR(E17={"Paid","Refunded","Chargeback"})</f>
        <v>1</v>
      </c>
    </row>
    <row r="18" spans="2:6" ht="16.05" customHeight="1" x14ac:dyDescent="0.3">
      <c r="B18" s="10" t="s">
        <v>134</v>
      </c>
      <c r="C18" s="10" t="s">
        <v>124</v>
      </c>
      <c r="D18" s="14">
        <v>88</v>
      </c>
      <c r="E18" s="27" t="s">
        <v>128</v>
      </c>
      <c r="F18" s="26" t="b" cm="1">
        <f t="array" ref="F18">OR(E18={"Paid","Refunded","Chargeback"})</f>
        <v>0</v>
      </c>
    </row>
    <row r="19" spans="2:6" ht="16.05" customHeight="1" x14ac:dyDescent="0.3">
      <c r="B19" s="10" t="s">
        <v>135</v>
      </c>
      <c r="C19" s="10" t="s">
        <v>123</v>
      </c>
      <c r="D19" s="14">
        <v>960</v>
      </c>
      <c r="E19" s="27" t="s">
        <v>114</v>
      </c>
      <c r="F19" s="26" t="b" cm="1">
        <f t="array" ref="F19">OR(E19={"Paid","Refunded","Chargeback"})</f>
        <v>1</v>
      </c>
    </row>
    <row r="20" spans="2:6" ht="16.05" customHeight="1" x14ac:dyDescent="0.3"/>
    <row r="21" spans="2:6" ht="16.05" customHeight="1" x14ac:dyDescent="0.3"/>
    <row r="22" spans="2:6" ht="16.05" customHeight="1" x14ac:dyDescent="0.3"/>
    <row r="23" spans="2:6" ht="16.05" customHeight="1" x14ac:dyDescent="0.3"/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0643-B5F1-BF4E-A380-288CB1ADAEB7}">
  <dimension ref="B1:F21"/>
  <sheetViews>
    <sheetView zoomScale="142" workbookViewId="0">
      <selection activeCell="C4" sqref="C4"/>
    </sheetView>
  </sheetViews>
  <sheetFormatPr defaultColWidth="10.796875" defaultRowHeight="14.4" x14ac:dyDescent="0.3"/>
  <cols>
    <col min="1" max="1" width="5" style="31" customWidth="1"/>
    <col min="2" max="2" width="12.796875" style="31" customWidth="1"/>
    <col min="3" max="16384" width="10.796875" style="31"/>
  </cols>
  <sheetData>
    <row r="1" spans="2:6" ht="16.05" customHeight="1" x14ac:dyDescent="0.3"/>
    <row r="2" spans="2:6" ht="16.05" customHeight="1" x14ac:dyDescent="0.3">
      <c r="B2" s="32" t="s">
        <v>137</v>
      </c>
      <c r="C2" s="33" t="s">
        <v>138</v>
      </c>
      <c r="D2" s="33" t="s">
        <v>139</v>
      </c>
      <c r="E2" s="33" t="s">
        <v>140</v>
      </c>
    </row>
    <row r="3" spans="2:6" ht="16.05" customHeight="1" x14ac:dyDescent="0.3">
      <c r="B3" s="34">
        <v>46388</v>
      </c>
      <c r="C3" s="34" cm="1">
        <f t="array" ref="C3:E3">Due_date+{7,14,30}</f>
        <v>46395</v>
      </c>
      <c r="D3" s="34">
        <v>46402</v>
      </c>
      <c r="E3" s="34">
        <v>46418</v>
      </c>
      <c r="F3" s="30"/>
    </row>
    <row r="4" spans="2:6" ht="16.05" customHeight="1" x14ac:dyDescent="0.3"/>
    <row r="5" spans="2:6" ht="16.05" customHeight="1" x14ac:dyDescent="0.3"/>
    <row r="6" spans="2:6" ht="16.05" customHeight="1" x14ac:dyDescent="0.3"/>
    <row r="7" spans="2:6" ht="16.05" customHeight="1" x14ac:dyDescent="0.3"/>
    <row r="8" spans="2:6" ht="16.05" customHeight="1" x14ac:dyDescent="0.3"/>
    <row r="9" spans="2:6" ht="16.05" customHeight="1" x14ac:dyDescent="0.3"/>
    <row r="10" spans="2:6" ht="16.05" customHeight="1" x14ac:dyDescent="0.3"/>
    <row r="11" spans="2:6" ht="16.05" customHeight="1" x14ac:dyDescent="0.3"/>
    <row r="12" spans="2:6" ht="16.05" customHeight="1" x14ac:dyDescent="0.3"/>
    <row r="13" spans="2:6" ht="16.05" customHeight="1" x14ac:dyDescent="0.3"/>
    <row r="14" spans="2:6" ht="16.05" customHeight="1" x14ac:dyDescent="0.3"/>
    <row r="15" spans="2:6" ht="16.05" customHeight="1" x14ac:dyDescent="0.3"/>
    <row r="16" spans="2:6" ht="16.05" customHeight="1" x14ac:dyDescent="0.3"/>
    <row r="17" ht="16.05" customHeight="1" x14ac:dyDescent="0.3"/>
    <row r="18" ht="16.05" customHeight="1" x14ac:dyDescent="0.3"/>
    <row r="19" ht="16.05" customHeight="1" x14ac:dyDescent="0.3"/>
    <row r="20" ht="16.05" customHeight="1" x14ac:dyDescent="0.3"/>
    <row r="21" ht="16.05" customHeight="1" x14ac:dyDescent="0.3"/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364C-5ED6-424A-808A-5573672C8F26}">
  <dimension ref="B2:O35"/>
  <sheetViews>
    <sheetView workbookViewId="0">
      <selection activeCell="E10" sqref="E10"/>
    </sheetView>
  </sheetViews>
  <sheetFormatPr defaultColWidth="11.19921875" defaultRowHeight="15.6" x14ac:dyDescent="0.3"/>
  <cols>
    <col min="8" max="9" width="0" hidden="1" customWidth="1"/>
    <col min="10" max="10" width="5.796875" hidden="1" customWidth="1"/>
    <col min="11" max="12" width="0" hidden="1" customWidth="1"/>
    <col min="13" max="13" width="4.796875" hidden="1" customWidth="1"/>
    <col min="14" max="14" width="0" hidden="1" customWidth="1"/>
    <col min="15" max="15" width="12.5" hidden="1" customWidth="1"/>
  </cols>
  <sheetData>
    <row r="2" spans="2:15" x14ac:dyDescent="0.3">
      <c r="B2" s="24" t="s">
        <v>73</v>
      </c>
      <c r="C2" s="23" t="s">
        <v>74</v>
      </c>
      <c r="D2" s="23" t="s">
        <v>99</v>
      </c>
      <c r="E2" s="23" t="s">
        <v>100</v>
      </c>
      <c r="H2" s="23" t="s">
        <v>95</v>
      </c>
      <c r="I2" s="23" t="s">
        <v>74</v>
      </c>
      <c r="K2" s="23" t="s">
        <v>95</v>
      </c>
      <c r="L2" s="23" t="s">
        <v>74</v>
      </c>
      <c r="N2" s="23" t="s">
        <v>95</v>
      </c>
      <c r="O2" s="23" t="s">
        <v>96</v>
      </c>
    </row>
    <row r="3" spans="2:15" x14ac:dyDescent="0.3">
      <c r="B3" t="s">
        <v>101</v>
      </c>
      <c r="C3" s="7">
        <v>3000</v>
      </c>
      <c r="D3" s="7">
        <v>1800</v>
      </c>
      <c r="E3" s="60" cm="1">
        <f t="array" ref="E3:E9">C3:C9-D3:D9</f>
        <v>1200</v>
      </c>
      <c r="H3" s="7" t="s">
        <v>97</v>
      </c>
      <c r="I3" s="7">
        <v>3000</v>
      </c>
      <c r="K3" s="7" t="s">
        <v>98</v>
      </c>
      <c r="L3" s="7">
        <v>4200</v>
      </c>
      <c r="N3" s="7"/>
      <c r="O3" s="7"/>
    </row>
    <row r="4" spans="2:15" x14ac:dyDescent="0.3">
      <c r="B4" t="s">
        <v>102</v>
      </c>
      <c r="C4" s="7">
        <v>1500</v>
      </c>
      <c r="D4" s="7">
        <v>825</v>
      </c>
      <c r="E4" s="25">
        <v>675</v>
      </c>
      <c r="H4" s="7" t="s">
        <v>97</v>
      </c>
      <c r="I4" s="7">
        <v>1500</v>
      </c>
      <c r="K4" s="7" t="s">
        <v>98</v>
      </c>
      <c r="L4" s="7">
        <v>2100</v>
      </c>
      <c r="N4" s="7"/>
      <c r="O4" s="7"/>
    </row>
    <row r="5" spans="2:15" x14ac:dyDescent="0.3">
      <c r="B5" t="s">
        <v>103</v>
      </c>
      <c r="C5" s="7">
        <v>1800</v>
      </c>
      <c r="D5" s="7">
        <v>900</v>
      </c>
      <c r="E5" s="25">
        <v>900</v>
      </c>
      <c r="H5" s="7" t="s">
        <v>97</v>
      </c>
      <c r="I5" s="7">
        <v>1800</v>
      </c>
      <c r="K5" s="7" t="s">
        <v>98</v>
      </c>
      <c r="L5" s="7">
        <v>2520</v>
      </c>
      <c r="N5" s="7"/>
      <c r="O5" s="7"/>
    </row>
    <row r="6" spans="2:15" x14ac:dyDescent="0.3">
      <c r="B6" t="s">
        <v>104</v>
      </c>
      <c r="C6" s="7">
        <v>3375</v>
      </c>
      <c r="D6" s="7">
        <v>2025</v>
      </c>
      <c r="E6" s="25">
        <v>1350</v>
      </c>
      <c r="H6" s="7" t="s">
        <v>97</v>
      </c>
      <c r="I6" s="7">
        <v>3375</v>
      </c>
      <c r="K6" s="7" t="s">
        <v>98</v>
      </c>
      <c r="L6" s="7">
        <v>4725</v>
      </c>
      <c r="N6" s="7"/>
      <c r="O6" s="7"/>
    </row>
    <row r="7" spans="2:15" x14ac:dyDescent="0.3">
      <c r="B7" t="s">
        <v>105</v>
      </c>
      <c r="C7" s="7">
        <v>1600</v>
      </c>
      <c r="D7" s="7">
        <v>880</v>
      </c>
      <c r="E7" s="25">
        <v>720</v>
      </c>
      <c r="H7" s="7" t="s">
        <v>97</v>
      </c>
      <c r="I7" s="7">
        <v>1600</v>
      </c>
      <c r="K7" s="7" t="s">
        <v>98</v>
      </c>
      <c r="L7" s="7">
        <v>2240</v>
      </c>
      <c r="N7" s="7"/>
      <c r="O7" s="7"/>
    </row>
    <row r="8" spans="2:15" x14ac:dyDescent="0.3">
      <c r="B8" t="s">
        <v>106</v>
      </c>
      <c r="C8" s="7">
        <v>1900</v>
      </c>
      <c r="D8" s="7">
        <v>950</v>
      </c>
      <c r="E8" s="25">
        <v>950</v>
      </c>
      <c r="H8" s="7" t="s">
        <v>97</v>
      </c>
      <c r="I8" s="7">
        <v>1900</v>
      </c>
      <c r="K8" s="7" t="s">
        <v>98</v>
      </c>
      <c r="L8" s="7">
        <v>2660</v>
      </c>
      <c r="N8" s="7"/>
      <c r="O8" s="7"/>
    </row>
    <row r="9" spans="2:15" x14ac:dyDescent="0.3">
      <c r="B9" t="s">
        <v>107</v>
      </c>
      <c r="C9" s="7">
        <v>2400</v>
      </c>
      <c r="D9" s="7">
        <v>1200</v>
      </c>
      <c r="E9" s="25">
        <v>1200</v>
      </c>
      <c r="H9" s="7" t="s">
        <v>97</v>
      </c>
      <c r="I9" s="7">
        <v>2400</v>
      </c>
      <c r="K9" s="7" t="s">
        <v>98</v>
      </c>
      <c r="L9" s="7">
        <v>3360</v>
      </c>
      <c r="N9" s="7"/>
      <c r="O9" s="7"/>
    </row>
    <row r="10" spans="2:15" x14ac:dyDescent="0.3">
      <c r="E10" s="25"/>
      <c r="N10" s="7"/>
      <c r="O10" s="7"/>
    </row>
    <row r="11" spans="2:15" x14ac:dyDescent="0.3">
      <c r="E11" s="25"/>
      <c r="N11" s="7"/>
      <c r="O11" s="7"/>
    </row>
    <row r="12" spans="2:15" x14ac:dyDescent="0.3">
      <c r="E12" s="25"/>
      <c r="N12" s="7"/>
      <c r="O12" s="7"/>
    </row>
    <row r="13" spans="2:15" x14ac:dyDescent="0.3">
      <c r="E13" s="25"/>
      <c r="N13" s="7"/>
      <c r="O13" s="7"/>
    </row>
    <row r="14" spans="2:15" x14ac:dyDescent="0.3">
      <c r="E14" s="25"/>
      <c r="N14" s="7"/>
      <c r="O14" s="7"/>
    </row>
    <row r="15" spans="2:15" x14ac:dyDescent="0.3">
      <c r="E15" s="25"/>
      <c r="N15" s="7"/>
      <c r="O15" s="7"/>
    </row>
    <row r="16" spans="2:15" x14ac:dyDescent="0.3">
      <c r="E16" s="25"/>
      <c r="N16" s="7"/>
      <c r="O16" s="7"/>
    </row>
    <row r="17" spans="5:15" x14ac:dyDescent="0.3">
      <c r="E17" s="25"/>
      <c r="N17" s="7"/>
      <c r="O17" s="7"/>
    </row>
    <row r="18" spans="5:15" x14ac:dyDescent="0.3">
      <c r="E18" s="25"/>
      <c r="N18" s="7"/>
      <c r="O18" s="7"/>
    </row>
    <row r="19" spans="5:15" x14ac:dyDescent="0.3">
      <c r="E19" s="25"/>
      <c r="N19" s="7"/>
      <c r="O19" s="7"/>
    </row>
    <row r="20" spans="5:15" x14ac:dyDescent="0.3">
      <c r="E20" s="25"/>
      <c r="N20" s="7"/>
      <c r="O20" s="7"/>
    </row>
    <row r="21" spans="5:15" x14ac:dyDescent="0.3">
      <c r="E21" s="25"/>
      <c r="N21" s="7"/>
      <c r="O21" s="7"/>
    </row>
    <row r="22" spans="5:15" x14ac:dyDescent="0.3">
      <c r="E22" s="25"/>
      <c r="N22" s="7"/>
      <c r="O22" s="7"/>
    </row>
    <row r="23" spans="5:15" x14ac:dyDescent="0.3">
      <c r="E23" s="25"/>
      <c r="N23" s="7"/>
      <c r="O23" s="7"/>
    </row>
    <row r="24" spans="5:15" x14ac:dyDescent="0.3">
      <c r="E24" s="25"/>
      <c r="N24" s="7"/>
      <c r="O24" s="7"/>
    </row>
    <row r="25" spans="5:15" x14ac:dyDescent="0.3">
      <c r="E25" s="25"/>
      <c r="N25" s="7"/>
      <c r="O25" s="7"/>
    </row>
    <row r="26" spans="5:15" x14ac:dyDescent="0.3">
      <c r="E26" s="25"/>
      <c r="N26" s="7"/>
      <c r="O26" s="7"/>
    </row>
    <row r="27" spans="5:15" x14ac:dyDescent="0.3">
      <c r="E27" s="25"/>
      <c r="N27" s="7"/>
      <c r="O27" s="7"/>
    </row>
    <row r="28" spans="5:15" x14ac:dyDescent="0.3">
      <c r="E28" s="25"/>
      <c r="N28" s="7"/>
      <c r="O28" s="7"/>
    </row>
    <row r="29" spans="5:15" x14ac:dyDescent="0.3">
      <c r="E29" s="25"/>
      <c r="N29" s="7"/>
      <c r="O29" s="7"/>
    </row>
    <row r="30" spans="5:15" x14ac:dyDescent="0.3">
      <c r="E30" s="25"/>
      <c r="N30" s="7"/>
      <c r="O30" s="7"/>
    </row>
    <row r="31" spans="5:15" x14ac:dyDescent="0.3">
      <c r="E31" s="25"/>
      <c r="N31" s="7"/>
      <c r="O31" s="7"/>
    </row>
    <row r="32" spans="5:15" x14ac:dyDescent="0.3">
      <c r="E32" s="25"/>
      <c r="N32" s="7"/>
      <c r="O32" s="7"/>
    </row>
    <row r="33" spans="5:15" x14ac:dyDescent="0.3">
      <c r="E33" s="25"/>
      <c r="N33" s="7"/>
      <c r="O33" s="7"/>
    </row>
    <row r="34" spans="5:15" x14ac:dyDescent="0.3">
      <c r="E34" s="25"/>
      <c r="N34" s="7"/>
      <c r="O34" s="7"/>
    </row>
    <row r="35" spans="5:15" x14ac:dyDescent="0.3">
      <c r="N35" s="7"/>
      <c r="O35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F189-4106-5442-B699-95A35D356FB4}">
  <dimension ref="B2:H17"/>
  <sheetViews>
    <sheetView tabSelected="1" zoomScale="120" zoomScaleNormal="120" workbookViewId="0">
      <selection activeCell="E3" sqref="E3:E17"/>
    </sheetView>
  </sheetViews>
  <sheetFormatPr defaultColWidth="11.19921875" defaultRowHeight="15.6" x14ac:dyDescent="0.3"/>
  <cols>
    <col min="1" max="1" width="3.296875" customWidth="1"/>
    <col min="2" max="2" width="13.19921875" customWidth="1"/>
    <col min="3" max="3" width="11.796875" customWidth="1"/>
    <col min="4" max="4" width="12.5" customWidth="1"/>
  </cols>
  <sheetData>
    <row r="2" spans="2:8" x14ac:dyDescent="0.3">
      <c r="B2" s="3" t="s">
        <v>21</v>
      </c>
      <c r="C2" s="3" t="s">
        <v>92</v>
      </c>
      <c r="D2" s="3" t="s">
        <v>93</v>
      </c>
      <c r="E2" s="3" t="s">
        <v>94</v>
      </c>
      <c r="G2" s="36" t="s">
        <v>141</v>
      </c>
      <c r="H2" t="s">
        <v>142</v>
      </c>
    </row>
    <row r="3" spans="2:8" x14ac:dyDescent="0.3">
      <c r="B3" s="8" t="s">
        <v>22</v>
      </c>
      <c r="C3" s="2">
        <v>3749000</v>
      </c>
      <c r="D3" s="2">
        <v>4369838</v>
      </c>
      <c r="E3" s="61">
        <f t="shared" ref="E3:E17" si="0">D3/C3-1</f>
        <v>0.16560096025606819</v>
      </c>
    </row>
    <row r="4" spans="2:8" x14ac:dyDescent="0.3">
      <c r="B4" s="8" t="s">
        <v>23</v>
      </c>
      <c r="C4" s="2">
        <v>830000</v>
      </c>
      <c r="D4" s="2">
        <v>926918</v>
      </c>
      <c r="E4" s="61">
        <f t="shared" si="0"/>
        <v>0.11676867469879526</v>
      </c>
    </row>
    <row r="5" spans="2:8" x14ac:dyDescent="0.3">
      <c r="B5" s="8" t="s">
        <v>24</v>
      </c>
      <c r="C5" s="2">
        <v>1571000</v>
      </c>
      <c r="D5" s="2">
        <v>1367166</v>
      </c>
      <c r="E5" s="61">
        <f t="shared" si="0"/>
        <v>-0.12974793125397832</v>
      </c>
    </row>
    <row r="6" spans="2:8" x14ac:dyDescent="0.3">
      <c r="B6" s="8" t="s">
        <v>25</v>
      </c>
      <c r="C6" s="2">
        <v>1096000</v>
      </c>
      <c r="D6" s="2">
        <v>1331147</v>
      </c>
      <c r="E6" s="61">
        <f t="shared" si="0"/>
        <v>0.21455018248175173</v>
      </c>
    </row>
    <row r="7" spans="2:8" x14ac:dyDescent="0.3">
      <c r="B7" s="8" t="s">
        <v>26</v>
      </c>
      <c r="C7" s="2">
        <v>2426000</v>
      </c>
      <c r="D7" s="2">
        <v>3350390</v>
      </c>
      <c r="E7" s="61">
        <f t="shared" si="0"/>
        <v>0.38103462489694961</v>
      </c>
    </row>
    <row r="8" spans="2:8" x14ac:dyDescent="0.3">
      <c r="B8" s="8" t="s">
        <v>27</v>
      </c>
      <c r="C8" s="2">
        <v>3509000</v>
      </c>
      <c r="D8" s="2">
        <v>3702830</v>
      </c>
      <c r="E8" s="61">
        <f t="shared" si="0"/>
        <v>5.5237959532630443E-2</v>
      </c>
    </row>
    <row r="9" spans="2:8" x14ac:dyDescent="0.3">
      <c r="B9" s="8" t="s">
        <v>28</v>
      </c>
      <c r="C9" s="2">
        <v>3654000</v>
      </c>
      <c r="D9" s="2">
        <v>3149891</v>
      </c>
      <c r="E9" s="61">
        <f t="shared" si="0"/>
        <v>-0.13796086480569236</v>
      </c>
    </row>
    <row r="10" spans="2:8" x14ac:dyDescent="0.3">
      <c r="B10" s="8" t="s">
        <v>29</v>
      </c>
      <c r="C10" s="2">
        <v>2502000</v>
      </c>
      <c r="D10" s="2">
        <v>3230215</v>
      </c>
      <c r="E10" s="61">
        <f t="shared" si="0"/>
        <v>0.29105315747402072</v>
      </c>
    </row>
    <row r="11" spans="2:8" x14ac:dyDescent="0.3">
      <c r="B11" s="8" t="s">
        <v>30</v>
      </c>
      <c r="C11" s="2">
        <v>3489000</v>
      </c>
      <c r="D11" s="2">
        <v>4639947</v>
      </c>
      <c r="E11" s="61">
        <f t="shared" si="0"/>
        <v>0.32987876182287179</v>
      </c>
    </row>
    <row r="12" spans="2:8" x14ac:dyDescent="0.3">
      <c r="B12" s="8" t="s">
        <v>31</v>
      </c>
      <c r="C12" s="2">
        <v>2704000</v>
      </c>
      <c r="D12" s="2">
        <v>3100373</v>
      </c>
      <c r="E12" s="61">
        <f t="shared" si="0"/>
        <v>0.14658764792899404</v>
      </c>
    </row>
    <row r="13" spans="2:8" x14ac:dyDescent="0.3">
      <c r="B13" s="8" t="s">
        <v>32</v>
      </c>
      <c r="C13" s="2">
        <v>885000</v>
      </c>
      <c r="D13" s="2">
        <v>846185</v>
      </c>
      <c r="E13" s="61">
        <f t="shared" si="0"/>
        <v>-4.3858757062146925E-2</v>
      </c>
    </row>
    <row r="14" spans="2:8" x14ac:dyDescent="0.3">
      <c r="B14" s="8" t="s">
        <v>33</v>
      </c>
      <c r="C14" s="2">
        <v>2767000</v>
      </c>
      <c r="D14" s="2">
        <v>3416520</v>
      </c>
      <c r="E14" s="61">
        <f t="shared" si="0"/>
        <v>0.23473798337549701</v>
      </c>
    </row>
    <row r="15" spans="2:8" x14ac:dyDescent="0.3">
      <c r="B15" s="8" t="s">
        <v>34</v>
      </c>
      <c r="C15" s="2">
        <v>3485000</v>
      </c>
      <c r="D15" s="2">
        <v>3471187</v>
      </c>
      <c r="E15" s="61">
        <f t="shared" si="0"/>
        <v>-3.9635581061693292E-3</v>
      </c>
    </row>
    <row r="16" spans="2:8" x14ac:dyDescent="0.3">
      <c r="B16" s="8" t="s">
        <v>35</v>
      </c>
      <c r="C16" s="2">
        <v>3790000</v>
      </c>
      <c r="D16" s="2">
        <v>4493143</v>
      </c>
      <c r="E16" s="61">
        <f t="shared" si="0"/>
        <v>0.18552585751978889</v>
      </c>
    </row>
    <row r="17" spans="2:5" x14ac:dyDescent="0.3">
      <c r="B17" s="8" t="s">
        <v>36</v>
      </c>
      <c r="C17" s="2">
        <v>860000</v>
      </c>
      <c r="D17" s="2">
        <v>1130345</v>
      </c>
      <c r="E17" s="61">
        <f t="shared" si="0"/>
        <v>0.3143546511627906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4192-B683-E44D-BE6A-CBDCA0DB90FD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Cover Page</vt:lpstr>
      <vt:lpstr>1. 3D Reference</vt:lpstr>
      <vt:lpstr>ES</vt:lpstr>
      <vt:lpstr>FR</vt:lpstr>
      <vt:lpstr>DE</vt:lpstr>
      <vt:lpstr>2. Double Dash</vt:lpstr>
      <vt:lpstr>3. Millions</vt:lpstr>
      <vt:lpstr>4. Aggregate</vt:lpstr>
      <vt:lpstr>5. Named Formula</vt:lpstr>
      <vt:lpstr>6. Cury Brackets</vt:lpstr>
      <vt:lpstr>7. Cell Name</vt:lpstr>
      <vt:lpstr>8. Dot Operator</vt:lpstr>
      <vt:lpstr>9. Arrows</vt:lpstr>
      <vt:lpstr>10. Navigation</vt:lpstr>
      <vt:lpstr>Due_date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User</cp:lastModifiedBy>
  <dcterms:created xsi:type="dcterms:W3CDTF">2026-07-17T02:04:16Z</dcterms:created>
  <dcterms:modified xsi:type="dcterms:W3CDTF">2026-08-27T09:29:28Z</dcterms:modified>
</cp:coreProperties>
</file>